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lejo\Documentos\6to Semestre\analisis\27835_G3_ADS\PREGAME\1. ELICITACIÓN\1.3 HISTORIAS DE USUARIO\"/>
    </mc:Choice>
  </mc:AlternateContent>
  <xr:revisionPtr revIDLastSave="0" documentId="8_{9F65F3D7-D2DC-40A4-8438-CCC247696D48}"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<sst xmlns="http://schemas.openxmlformats.org/spreadsheetml/2006/main" count="311" uniqueCount="227">
  <si>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</si>
  <si>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</si>
  <si>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</si>
  <si>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</si>
  <si>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</si>
  <si>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</si>
  <si>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</si>
  <si>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</si>
  <si>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</si>
  <si>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</si>
  <si>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</si>
  <si>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</si>
  <si>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</si>
  <si>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</si>
  <si>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</si>
  <si>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</si>
  <si>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cliente debe poder crear su cuenta en el sistema</t>
  </si>
  <si>
    <t>Registrar cliente con nombre, correo y contraseña</t>
  </si>
  <si>
    <t>Para que el cliente pueda acceder al sistema y gestionar sus comprobantes de pago.</t>
  </si>
  <si>
    <t>Cliente</t>
  </si>
  <si>
    <t>Ingresar nombre completo, correo electrónico, contraseña y confirmar contraseña</t>
  </si>
  <si>
    <t>Fernando Sandoval</t>
  </si>
  <si>
    <t>No iniciado</t>
  </si>
  <si>
    <t>Validar que el correo no esté duplicado, que la contraseña cumpla requisitos de seguridad (8 caracteres, mayúscula, número, símbolo). Verificar confirmación exitosa y habilitación de inicio de sesión.</t>
  </si>
  <si>
    <t>Implementar validación en tiempo real</t>
  </si>
  <si>
    <t>RF1.2</t>
  </si>
  <si>
    <t>El gerente necesita registrar nuevos asistentes administrativos</t>
  </si>
  <si>
    <t>Crear cuentas de asistente desde el panel de gerente</t>
  </si>
  <si>
    <t>Para gestionar el personal que ayudará en operaciones administrativas</t>
  </si>
  <si>
    <t>Gerente</t>
  </si>
  <si>
    <t>Ingresar nombre completo, correo electrónico y contraseña inicial del asistente</t>
  </si>
  <si>
    <t>Zaith Manangón</t>
  </si>
  <si>
    <t>Alta</t>
  </si>
  <si>
    <t>Verificar que solo el gerente pueda acceder. Validar formato de datos, correo único. Confirmar envío de correo con credenciales temporales. Verificar que el asistente pueda iniciar sesión.</t>
  </si>
  <si>
    <t>Forzar cambio de contraseña en primer inicio</t>
  </si>
  <si>
    <t>Gestión de Cuentas de Asistente</t>
  </si>
  <si>
    <t>RF1.3</t>
  </si>
  <si>
    <t>Los usuarios necesitan acceder al sistema según su rol</t>
  </si>
  <si>
    <t>Autenticar usuarios y redirigirlos a su entorno correspondiente</t>
  </si>
  <si>
    <t>Para garantizar acceso seguro y diferenciado por tipo de usuario</t>
  </si>
  <si>
    <t>Cliente, Asistente, Gerente</t>
  </si>
  <si>
    <t>Ingresar correo electrónico y contraseña</t>
  </si>
  <si>
    <t>Simone Medina</t>
  </si>
  <si>
    <t>Validar credenciales correctas e incorrectas. Verificar redirección según rol (ClienteDashboard, AssistantDashboard, ManagerDashboard). Probar con usuario no registrado y formato de correo inválido.</t>
  </si>
  <si>
    <t>Implementar bloqueo después de 5 intentos fallidos</t>
  </si>
  <si>
    <t>RF1.4</t>
  </si>
  <si>
    <t>Los usuarios olvidan sus contraseñas</t>
  </si>
  <si>
    <t>Recuperar acceso mediante verificación por correo</t>
  </si>
  <si>
    <t>Para permitir que usuarios recuperen el acceso de forma segura</t>
  </si>
  <si>
    <t>Solicitar recuperación ingresando correo, recibir código de 6 dígitos, establecer nueva contraseña</t>
  </si>
  <si>
    <t>Oswaldo Tipan</t>
  </si>
  <si>
    <t>Verificar envío de código al correo. Validar expiración del código (10 minutos). Probar con correo no registrado. Validar requisitos de nueva contraseña. Confirmar actualización exitosa.</t>
  </si>
  <si>
    <t>Implementar límite de intentos</t>
  </si>
  <si>
    <t>RF1.5</t>
  </si>
  <si>
    <t>Los usuarios necesitan cerrar su sesión de forma segura</t>
  </si>
  <si>
    <t>Terminar sesión y limpiar tokens de autenticación</t>
  </si>
  <si>
    <t>Para prevenir accesos no autorizados después del uso</t>
  </si>
  <si>
    <t>Hacer clic en botón 'Cerrar sesión'</t>
  </si>
  <si>
    <t>Media</t>
  </si>
  <si>
    <t>Verificar invalidación de tokens. Confirmar redirección a pantalla de inicio de sesión. Probar intento de acceso con sesión cerrada. Validar comportamiento con sesión expirada.</t>
  </si>
  <si>
    <t>Disponible en todas las vistas internas</t>
  </si>
  <si>
    <t>RF1.6</t>
  </si>
  <si>
    <t>Los usuarios necesitan una página inicial según su rol</t>
  </si>
  <si>
    <t>Mostrar dashboard personalizado con información relevante</t>
  </si>
  <si>
    <t>Para facilitar acceso rápido a funcionalidades principales</t>
  </si>
  <si>
    <t>Visualizar widgets y accesos rápidos después de iniciar sesión</t>
  </si>
  <si>
    <t>Verificar que cada rol vea su dashboard correspondiente. Validar carga de datos resumidos (créditos, pagos, reportes). Probar responsive design. Confirmar funcionamiento de accesos rápidos.</t>
  </si>
  <si>
    <t>Debe ser responsive y con datos en tiempo real</t>
  </si>
  <si>
    <t>RF-2</t>
  </si>
  <si>
    <t>Los usuarios necesitan registrar comprobantes de pago</t>
  </si>
  <si>
    <t>Ingresar datos del comprobante y adjuntar archivo</t>
  </si>
  <si>
    <t>Para mantener registro digital de pagos realizados</t>
  </si>
  <si>
    <t>Ingresar número de referencia, fecha, monto, entidad emisora y adjuntar archivo</t>
  </si>
  <si>
    <t>Validar formato de datos. Verificar control de duplicados. Probar validación con pasarela de pago. Confirmar asociación a cuotas. Verificar actualización de saldos. Validar generación de acuse con número único.</t>
  </si>
  <si>
    <t>Integrar con pasarelas de pago externas</t>
  </si>
  <si>
    <t>RF-3</t>
  </si>
  <si>
    <t>Los pagos a crédito deben procesarse y actualizarse en tiempo real</t>
  </si>
  <si>
    <t>Registrar pago y recalcular estado del crédito</t>
  </si>
  <si>
    <t>Para mantener actualizado el estado financiero del cliente</t>
  </si>
  <si>
    <t>Cliente, Gerente</t>
  </si>
  <si>
    <t>Seleccionar crédito, ingresar monto, método de pago y confirmar transacción</t>
  </si>
  <si>
    <t>Validar crédito activo. Verificar cálculo correcto de aplicación a cuotas. Confirmar recalculo de saldos e intereses. Validar generación de comprobante digital. Probar diferentes métodos de pago.</t>
  </si>
  <si>
    <t>Implementar lógica de aplicación de pagos según reglas de negocio</t>
  </si>
  <si>
    <t>RF-4</t>
  </si>
  <si>
    <t>El sistema necesita importar datos de facturación externa</t>
  </si>
  <si>
    <t>Cargar archivos CSV/XLSX con datos de facturación</t>
  </si>
  <si>
    <t>Para sincronizar información de sistemas externos</t>
  </si>
  <si>
    <t>Gerente, Asistente</t>
  </si>
  <si>
    <t>Seleccionar archivo, validar formato, importar y verificar resultados</t>
  </si>
  <si>
    <t>Validar formato de archivo. Verificar control de duplicados. Probar validación de integridad de datos. Confirmar reporte de inconsistencias. Validar actualización correcta en base de datos. Verificar disponibilidad de datos en módulos.</t>
  </si>
  <si>
    <t>Soportar CSV, XLSX y API de sistemas externos</t>
  </si>
  <si>
    <t>RF-5.1</t>
  </si>
  <si>
    <t>El gerente necesita otorgar créditos a clientes</t>
  </si>
  <si>
    <t>Asignar crédito y cambiar estado del cliente</t>
  </si>
  <si>
    <t>Para habilitar compras a crédito según política de la empresa</t>
  </si>
  <si>
    <t>Seleccionar cliente desde lista y asignar rol 'Cliente con acceso a crédito'</t>
  </si>
  <si>
    <t>Verificar que solo gerente acceda. Validar selección de cliente registrado. Confirmar cambio de estado a 'con crédito activo'. Probar restricción con clientes con pagos vencidos. Validar notificación al cliente.</t>
  </si>
  <si>
    <t>Implementar validación de historial crediticio</t>
  </si>
  <si>
    <t>RF-5.2</t>
  </si>
  <si>
    <t>Los clientes necesitan realizar pagos en línea</t>
  </si>
  <si>
    <t>Procesar pago de cuota mediante pasarela de pago</t>
  </si>
  <si>
    <t>Para facilitar el cumplimiento de obligaciones desde cualquier lugar</t>
  </si>
  <si>
    <t>Seleccionar cuota pendiente, elegir método de pago, completar formulario y confirmar</t>
  </si>
  <si>
    <t>Verificar listado de cuotas pendientes. Validar redirección a pasarela segura. Probar formulario de pago con datos válidos e inválidos. Confirmar procesamiento exitoso. Verificar actualización de estado de cuota. Validar generación de confirmación.</t>
  </si>
  <si>
    <t>Implementar seguridad PCI DSS</t>
  </si>
  <si>
    <t>RF-5.3</t>
  </si>
  <si>
    <t>Los clientes necesitan conocer condiciones de su crédito</t>
  </si>
  <si>
    <t>Visualizar términos, interés, cuotas y cronograma</t>
  </si>
  <si>
    <t>Para mantener informado al cliente sobre su obligación financiera</t>
  </si>
  <si>
    <t>Acceder a módulo 'Mis créditos' y seleccionar crédito activo</t>
  </si>
  <si>
    <t>Verificar autenticación. Validar carga de créditos activos. Confirmar visualización completa de condiciones (monto, cuotas, interés, cronograma). Probar con cliente sin créditos. Validar formato y claridad de información.</t>
  </si>
  <si>
    <t>Mostrar información en la misma página</t>
  </si>
  <si>
    <t>RF-5.4</t>
  </si>
  <si>
    <t>Los clientes necesitan revisar el estado de su crédito</t>
  </si>
  <si>
    <t>Ver cuotas pagadas, pendientes y monto restante</t>
  </si>
  <si>
    <t>Para hacer seguimiento del cumplimiento financiero</t>
  </si>
  <si>
    <t>Acceder a módulo de créditos y consultar estado actualizado</t>
  </si>
  <si>
    <t>Validar visualización de cuotas pagadas y pendientes. Verificar cálculo correcto de saldo restante. Confirmar historial de pagos con fechas y montos. Probar con diferentes estados de crédito. Validar actualización en tiempo real.</t>
  </si>
  <si>
    <t>Incluir representación visual (gráficos)</t>
  </si>
  <si>
    <t>RF-5.5</t>
  </si>
  <si>
    <t>Los clientes necesitan certificados de sus pagos</t>
  </si>
  <si>
    <t>Generar documento PDF con información de pagos</t>
  </si>
  <si>
    <t>Para contar con respaldo formal de transacciones realizadas</t>
  </si>
  <si>
    <t>Acceder a historial de pagos, seleccionar pagos y solicitar certificado</t>
  </si>
  <si>
    <t>Verificar listado de pagos confirmados. Validar selección múltiple. Confirmar generación de PDF con datos correctos (cliente, monto, fecha, concepto). Probar descarga y envío por correo. Validar formato profesional del documento.</t>
  </si>
  <si>
    <t>Incluir logo y marca de agua de seguridad</t>
  </si>
  <si>
    <t>RF-6.1</t>
  </si>
  <si>
    <t>El gerente necesita reportes de pagos por cliente específico</t>
  </si>
  <si>
    <t>Filtrar y visualizar pagos de un cliente particular</t>
  </si>
  <si>
    <t>Para analizar comportamiento de pago individual</t>
  </si>
  <si>
    <t>Buscar cliente por cédula/nombre/RUC y generar reporte de sus pagos</t>
  </si>
  <si>
    <t>Verificar búsqueda por cédula, nombre o RUC. Validar existencia del cliente. Confirmar listado de pagos con datos completos. Probar exportación a PDF, XLSX y CSV. Validar con cliente sin pagos registrados.</t>
  </si>
  <si>
    <t>Implementar autocompletado en búsqueda</t>
  </si>
  <si>
    <t>RF-6.2</t>
  </si>
  <si>
    <t>El gerente necesita reportes de pagos por rango de fechas</t>
  </si>
  <si>
    <t>Consultar todos los pagos en un período específico</t>
  </si>
  <si>
    <t>Para analizar flujo de caja y tendencias temporales</t>
  </si>
  <si>
    <t>Seleccionar fecha inicial y final en calendario y generar reporte</t>
  </si>
  <si>
    <t>Validar selección de fechas con calendario. Verificar que fecha final &gt; fecha inicial. Confirmar listado ordenado cronológicamente. Probar filtros por cliente o método de pago. Validar exportación. Probar con rango sin pagos.</t>
  </si>
  <si>
    <t>Limitar rango máximo a un año</t>
  </si>
  <si>
    <t>RF-6.3</t>
  </si>
  <si>
    <t>El asistente necesita identificar clientes con riesgo de morosidad</t>
  </si>
  <si>
    <t>Listar clientes con pagos vencidos o en mora</t>
  </si>
  <si>
    <t>Para realizar seguimiento y gestión de cobro</t>
  </si>
  <si>
    <t>Asistente</t>
  </si>
  <si>
    <t>Acceder a módulo de reportes y seleccionar 'Clientes en riesgo de morosidad'</t>
  </si>
  <si>
    <t>Verificar análisis automático de vencimientos. Validar cálculo de días de mora. Confirmar listado con datos completos (cliente, monto adeudado, facturas vencidas). Probar filtros por monto o fechas. Validar exportación. Probar cuando no hay morosidad.</t>
  </si>
  <si>
    <t>Incluir indicadores visuales de severidad</t>
  </si>
  <si>
    <t>RF-6.4</t>
  </si>
  <si>
    <t>El asistente necesita consultar información básica del cliente</t>
  </si>
  <si>
    <t>Buscar y visualizar datos personales y de contacto</t>
  </si>
  <si>
    <t>Para atención y soporte al cliente</t>
  </si>
  <si>
    <t>Buscar cliente por nombre, cédula o RUC</t>
  </si>
  <si>
    <t>Verificar búsqueda con coincidencia exacta y parcial. Validar visualización de datos completos (nombre, cédula/RUC, contacto, correo, dirección, estado). Probar con cliente inexistente. Confirmar rapidez de búsqueda.</t>
  </si>
  <si>
    <t>Implementar índice invertido para búsquedas rápidas</t>
  </si>
  <si>
    <t>RF-6.5</t>
  </si>
  <si>
    <t>El asistente necesita consultar historial de pagos del cliente</t>
  </si>
  <si>
    <t>Visualizar todos los pagos registrados de un cliente</t>
  </si>
  <si>
    <t>Para brindar soporte y resolver consultas</t>
  </si>
  <si>
    <t>Desde perfil del cliente, acceder a historial de pagos</t>
  </si>
  <si>
    <t>Validar listado ordenado por fecha descendente. Verificar datos completos por pago (factura, fecha, monto, método, estado). Probar con cliente sin pagos. Confirmar integración con módulo de reportes.</t>
  </si>
  <si>
    <t>Permitir filtros por fecha o estado</t>
  </si>
  <si>
    <t>RF-7</t>
  </si>
  <si>
    <t>Los usuarios necesitan revisar el estado de cuenta completo</t>
  </si>
  <si>
    <t>Visualizar créditos, pagos, cuotas e intereses</t>
  </si>
  <si>
    <t>Para tener visión integral de la situación financiera</t>
  </si>
  <si>
    <t>Acceder a módulo de estado de cuenta y consultar información actualizada</t>
  </si>
  <si>
    <t>Verificar visualización de créditos activos. Validar historial de pagos. Confirmar listado de cuotas pendientes. Verificar cálculo de intereses. Probar filtros por fecha o concepto. Validar exportación a PDF/XLSX.</t>
  </si>
  <si>
    <t>Diseño debe ser claro y comprensible</t>
  </si>
  <si>
    <t>RF-8.1</t>
  </si>
  <si>
    <t>El sistema debe notificar pagos en riesgo de morosidad</t>
  </si>
  <si>
    <t>Generar alerta cuando se aproxima fecha de vencimiento crítica</t>
  </si>
  <si>
    <t>Para prevenir incumplimientos y mantener informado al cliente</t>
  </si>
  <si>
    <t>Cliente (receptor), Asistente (gestor)</t>
  </si>
  <si>
    <t>Verificación automática diaria de fechas y envío de notificación</t>
  </si>
  <si>
    <t>Verificar ejecución automática diaria. Validar identificación correcta de pagos en riesgo. Confirmar generación y envío de notificación. Probar registro en log. Validar visualización en panel del cliente.</t>
  </si>
  <si>
    <t>Definir criterios de 'riesgo de morosidad'</t>
  </si>
  <si>
    <t>RF-8.2</t>
  </si>
  <si>
    <t>El sistema debe notificar próximos vencimientos de pago</t>
  </si>
  <si>
    <t>Alertar con anticipación sobre fechas de pago cercanas</t>
  </si>
  <si>
    <t>Para recordar obligaciones y facilitar cumplimiento</t>
  </si>
  <si>
    <t>Verificación automática y envío de alerta 3 días antes del vencimiento</t>
  </si>
  <si>
    <t>Verificar detección de cuotas con vencimiento en 3 días. Validar generación de mensajes personalizados. Confirmar envío exitoso. Probar cuando no hay cuotas próximas a vencer. Validar que no se envíen duplicados.</t>
  </si>
  <si>
    <t>Configurar ventana de anticipación (actualmente 3 días)</t>
  </si>
  <si>
    <t>RF-8.3</t>
  </si>
  <si>
    <t>El sistema debe notificar pagos vencidos</t>
  </si>
  <si>
    <t>Alertar sobre obligaciones no cumplidas en fecha</t>
  </si>
  <si>
    <t>Para informar estado de deuda y solicitar regularización</t>
  </si>
  <si>
    <t>Verificación diaria automática de cuotas vencidas sin pago</t>
  </si>
  <si>
    <t>Verificar identificación de cuotas vencidas sin pago. Validar generación de notificación de deuda. Confirmar envío al cliente. Probar registro en sistema. Validar que se envíe solo una vez por cuota vencida.</t>
  </si>
  <si>
    <t>Incluir información de monto adeudado e intereses</t>
  </si>
  <si>
    <t>En proceso</t>
  </si>
  <si>
    <t xml:space="preserve">Media </t>
  </si>
  <si>
    <t>Terminado</t>
  </si>
  <si>
    <t>Baja</t>
  </si>
  <si>
    <t>Atrasado</t>
  </si>
  <si>
    <t>HISTORIA DE USUARIO (HU)</t>
  </si>
  <si>
    <t>USUARIO</t>
  </si>
  <si>
    <t>TIEMPO</t>
  </si>
  <si>
    <t>PROG. RESP</t>
  </si>
  <si>
    <t>QUE</t>
  </si>
  <si>
    <t>PARA QUE</t>
  </si>
  <si>
    <t>COMO</t>
  </si>
  <si>
    <t>NOMBRE HISTORIA</t>
  </si>
  <si>
    <t>PRUEBA</t>
  </si>
  <si>
    <t>Registro de Cuenta de Cliente</t>
  </si>
  <si>
    <t>Inicio de Sesión Multirole</t>
  </si>
  <si>
    <t>Recuperación de Contraseña</t>
  </si>
  <si>
    <t>Cierre Seguro de Sesión</t>
  </si>
  <si>
    <t>Acceso a Dashboard Personalizado</t>
  </si>
  <si>
    <t>Carga y Registro de Comprobantes</t>
  </si>
  <si>
    <t>Abono a Crédito Activo</t>
  </si>
  <si>
    <t>Importación Masiva de Facturación</t>
  </si>
  <si>
    <t>Otorgamiento de Crédito a Cliente</t>
  </si>
  <si>
    <t>Pago de Cuotas en Línea</t>
  </si>
  <si>
    <t>Visualización de Condiciones del Crédito</t>
  </si>
  <si>
    <t>Seguimiento de Saldo y Cuotas</t>
  </si>
  <si>
    <t>Descarga de Certificados de Pago</t>
  </si>
  <si>
    <t>Reporte Individual de Pagos</t>
  </si>
  <si>
    <t>Reporte de Pagos por Fechas</t>
  </si>
  <si>
    <t>Reporte de Riesgo de Morosidad</t>
  </si>
  <si>
    <t>Búsqueda Rápida de Clientes</t>
  </si>
  <si>
    <t>Consulta de Historial de Pagos</t>
  </si>
  <si>
    <t>Vista Global de Estado de Cuenta</t>
  </si>
  <si>
    <t>Alerta de Vencimiento Crítico</t>
  </si>
  <si>
    <t>Aviso Preventivo de Vencimiento</t>
  </si>
  <si>
    <t>Notificación de Deuda Vencida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</si>
</sst>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1"/>
      <color rgb="FF000000"/>
      <name val="&quot;Arial Narrow&quot;"/>
    </font>
    <font>
      <sz val="11"/>
      <color rgb="FF000000"/>
      <name val="&quot;Arial Narrow&quot;"/>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xf>
    <xf numFmtId="0" fontId="5" fillId="0" borderId="3" xfId="0" applyFont="1" applyBorder="1" applyAlignment="1">
      <alignment horizontal="left" wrapText="1"/>
    </xf>
    <xf numFmtId="164" fontId="5" fillId="0" borderId="3" xfId="0" applyNumberFormat="1" applyFont="1" applyBorder="1" applyAlignment="1">
      <alignment horizontal="left" wrapText="1"/>
    </xf>
    <xf numFmtId="0" fontId="5" fillId="4" borderId="3" xfId="0" applyFont="1" applyFill="1" applyBorder="1" applyAlignment="1">
      <alignment horizontal="left" wrapText="1"/>
    </xf>
    <xf numFmtId="0" fontId="5" fillId="0" borderId="5" xfId="0" applyFont="1" applyBorder="1" applyAlignment="1">
      <alignment horizontal="left" wrapText="1"/>
    </xf>
    <xf numFmtId="0" fontId="5" fillId="3" borderId="6" xfId="0" applyFont="1" applyFill="1" applyBorder="1" applyAlignment="1">
      <alignment horizontal="center"/>
    </xf>
    <xf numFmtId="164" fontId="5" fillId="0" borderId="5" xfId="0" applyNumberFormat="1" applyFont="1" applyBorder="1" applyAlignment="1">
      <alignment horizontal="left" wrapText="1"/>
    </xf>
    <xf numFmtId="0" fontId="5" fillId="4" borderId="5" xfId="0" applyFont="1" applyFill="1" applyBorder="1" applyAlignment="1">
      <alignment horizontal="left" wrapText="1"/>
    </xf>
    <xf numFmtId="0" fontId="5" fillId="0" borderId="4" xfId="0" applyFont="1" applyBorder="1" applyAlignment="1">
      <alignment horizontal="left" wrapText="1"/>
    </xf>
    <xf numFmtId="49" fontId="5" fillId="0" borderId="5" xfId="0" applyNumberFormat="1" applyFont="1" applyBorder="1" applyAlignment="1">
      <alignment horizontal="left" wrapText="1"/>
    </xf>
    <xf numFmtId="0" fontId="5" fillId="3" borderId="6" xfId="0" applyFont="1" applyFill="1" applyBorder="1" applyAlignment="1"/>
    <xf numFmtId="0" fontId="6" fillId="0" borderId="0" xfId="0" applyFont="1" applyAlignment="1">
      <alignment horizontal="center"/>
    </xf>
    <xf numFmtId="0" fontId="7" fillId="0" borderId="0" xfId="0" applyFont="1" applyAlignment="1">
      <alignment horizontal="left" vertical="center" wrapText="1"/>
    </xf>
    <xf numFmtId="0" fontId="8" fillId="0" borderId="0" xfId="0" applyFont="1"/>
    <xf numFmtId="0" fontId="10" fillId="0" borderId="0" xfId="0" applyFont="1"/>
    <xf numFmtId="0" fontId="7" fillId="0" borderId="0" xfId="0" applyFont="1" applyAlignment="1">
      <alignment horizontal="center" vertical="center" wrapText="1"/>
    </xf>
    <xf numFmtId="0" fontId="10" fillId="5" borderId="7" xfId="0" applyFont="1" applyFill="1" applyBorder="1"/>
    <xf numFmtId="0" fontId="7" fillId="5" borderId="8" xfId="0" applyFont="1" applyFill="1" applyBorder="1" applyAlignment="1">
      <alignment horizontal="left" vertical="center" wrapText="1"/>
    </xf>
    <xf numFmtId="0" fontId="8" fillId="5" borderId="8" xfId="0" applyFont="1" applyFill="1" applyBorder="1"/>
    <xf numFmtId="0" fontId="10" fillId="5" borderId="8" xfId="0" applyFont="1" applyFill="1" applyBorder="1"/>
    <xf numFmtId="0" fontId="10" fillId="5" borderId="9" xfId="0" applyFont="1" applyFill="1" applyBorder="1"/>
    <xf numFmtId="0" fontId="10" fillId="5" borderId="10" xfId="0" applyFont="1" applyFill="1" applyBorder="1"/>
    <xf numFmtId="0" fontId="11" fillId="6" borderId="4" xfId="0" applyFont="1" applyFill="1" applyBorder="1" applyAlignment="1">
      <alignment horizontal="center" vertical="center"/>
    </xf>
    <xf numFmtId="0" fontId="12" fillId="5" borderId="11" xfId="0" applyFont="1" applyFill="1" applyBorder="1" applyAlignment="1">
      <alignment vertical="center"/>
    </xf>
    <xf numFmtId="0" fontId="10" fillId="5" borderId="11" xfId="0" applyFont="1" applyFill="1" applyBorder="1"/>
    <xf numFmtId="0" fontId="10" fillId="5" borderId="12" xfId="0" applyFont="1" applyFill="1" applyBorder="1"/>
    <xf numFmtId="0" fontId="13" fillId="7" borderId="4" xfId="0" applyFont="1" applyFill="1" applyBorder="1" applyAlignment="1">
      <alignment horizontal="center" vertical="center"/>
    </xf>
    <xf numFmtId="0" fontId="8" fillId="5" borderId="11" xfId="0" applyFont="1" applyFill="1" applyBorder="1" applyAlignment="1">
      <alignment vertical="center" wrapText="1"/>
    </xf>
    <xf numFmtId="0" fontId="8" fillId="5" borderId="11" xfId="0" applyFont="1" applyFill="1" applyBorder="1" applyAlignment="1">
      <alignment vertical="center"/>
    </xf>
    <xf numFmtId="0" fontId="13" fillId="5" borderId="11" xfId="0" applyFont="1" applyFill="1" applyBorder="1" applyAlignment="1">
      <alignment horizontal="center" vertical="center"/>
    </xf>
    <xf numFmtId="0" fontId="8" fillId="5" borderId="11" xfId="0" applyFont="1" applyFill="1" applyBorder="1" applyAlignment="1">
      <alignment horizontal="center" vertical="center"/>
    </xf>
    <xf numFmtId="0" fontId="13" fillId="7" borderId="4" xfId="0" applyFont="1" applyFill="1" applyBorder="1" applyAlignment="1">
      <alignment horizontal="center" vertical="center"/>
    </xf>
    <xf numFmtId="0" fontId="10" fillId="5" borderId="11" xfId="0" applyFont="1" applyFill="1" applyBorder="1" applyAlignment="1">
      <alignment horizontal="center"/>
    </xf>
    <xf numFmtId="0" fontId="10" fillId="5" borderId="28" xfId="0" applyFont="1" applyFill="1" applyBorder="1"/>
    <xf numFmtId="0" fontId="10" fillId="5" borderId="29" xfId="0" applyFont="1" applyFill="1" applyBorder="1"/>
    <xf numFmtId="0" fontId="10" fillId="5" borderId="30" xfId="0" applyFont="1" applyFill="1" applyBorder="1"/>
    <xf numFmtId="0" fontId="6" fillId="0" borderId="4" xfId="0" applyFont="1" applyBorder="1" applyAlignment="1">
      <alignment horizontal="left"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1" fillId="8" borderId="13" xfId="0" applyFont="1" applyFill="1" applyBorder="1" applyAlignment="1">
      <alignment horizontal="center" vertical="center"/>
    </xf>
    <xf numFmtId="0" fontId="3" fillId="0" borderId="17" xfId="0" applyFont="1" applyBorder="1"/>
    <xf numFmtId="0" fontId="3" fillId="0" borderId="6" xfId="0" applyFont="1" applyBorder="1"/>
    <xf numFmtId="0" fontId="8" fillId="7" borderId="14" xfId="0" applyFont="1" applyFill="1" applyBorder="1" applyAlignment="1">
      <alignment horizontal="left" vertical="center"/>
    </xf>
    <xf numFmtId="0" fontId="3" fillId="0" borderId="16" xfId="0" applyFont="1" applyBorder="1"/>
    <xf numFmtId="0" fontId="3" fillId="0" borderId="15" xfId="0" applyFont="1" applyBorder="1"/>
    <xf numFmtId="0" fontId="3" fillId="0" borderId="18" xfId="0" applyFont="1" applyBorder="1"/>
    <xf numFmtId="0" fontId="0" fillId="0" borderId="0" xfId="0" applyFont="1" applyAlignment="1"/>
    <xf numFmtId="0" fontId="3" fillId="0" borderId="19" xfId="0" applyFont="1" applyBorder="1"/>
    <xf numFmtId="0" fontId="3" fillId="0" borderId="20" xfId="0" applyFont="1" applyBorder="1"/>
    <xf numFmtId="0" fontId="3" fillId="0" borderId="21" xfId="0" applyFont="1" applyBorder="1"/>
    <xf numFmtId="0" fontId="3" fillId="0" borderId="5" xfId="0" applyFont="1" applyBorder="1"/>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1"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14" fillId="9" borderId="14" xfId="0" applyFont="1" applyFill="1" applyBorder="1" applyAlignment="1">
      <alignment horizontal="center" vertical="center"/>
    </xf>
    <xf numFmtId="0" fontId="11" fillId="6" borderId="14" xfId="0" applyFont="1" applyFill="1" applyBorder="1" applyAlignment="1">
      <alignment horizontal="center" vertical="center"/>
    </xf>
    <xf numFmtId="49" fontId="8" fillId="7" borderId="14" xfId="0" applyNumberFormat="1" applyFont="1" applyFill="1" applyBorder="1" applyAlignment="1">
      <alignment horizontal="left" vertical="center"/>
    </xf>
    <xf numFmtId="0" fontId="9" fillId="5" borderId="1" xfId="0" applyFont="1" applyFill="1" applyBorder="1" applyAlignment="1">
      <alignment horizontal="center" vertical="center" wrapText="1"/>
    </xf>
    <xf numFmtId="0" fontId="8" fillId="7" borderId="14" xfId="0" applyFont="1" applyFill="1" applyBorder="1" applyAlignment="1">
      <alignment horizontal="center" vertical="center"/>
    </xf>
    <xf numFmtId="0" fontId="8" fillId="7" borderId="14"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69"/>
  <sheetViews>
    <sheetView showGridLines="0" topLeftCell="A25" zoomScale="75" workbookViewId="0">
      <selection activeCell="D40" sqref="D40"/>
    </sheetView>
  </sheetViews>
  <sheetFormatPr baseColWidth="10" defaultColWidth="12.59765625" defaultRowHeight="15" customHeight="1"/>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5" width="9.3984375" customWidth="1"/>
  </cols>
  <sheetData>
    <row r="1" spans="1:25" ht="13.8">
      <c r="A1" s="1">
        <v>4</v>
      </c>
      <c r="B1" s="1"/>
      <c r="C1" s="1"/>
      <c r="D1" s="1"/>
      <c r="E1" s="1"/>
      <c r="F1" s="1"/>
      <c r="G1" s="1"/>
      <c r="H1" s="1"/>
      <c r="I1" s="2"/>
      <c r="J1" s="2"/>
      <c r="K1" s="3"/>
      <c r="L1" s="2"/>
      <c r="M1" s="1"/>
      <c r="N1" s="1"/>
      <c r="O1" s="1"/>
      <c r="P1" s="1"/>
      <c r="Q1" s="1"/>
      <c r="R1" s="1"/>
      <c r="S1" s="1"/>
      <c r="T1" s="1"/>
      <c r="U1" s="1"/>
      <c r="V1" s="1"/>
      <c r="W1" s="1"/>
      <c r="X1" s="1"/>
      <c r="Y1" s="1"/>
    </row>
    <row r="2" spans="1:25" ht="13.8">
      <c r="A2" s="1"/>
      <c r="B2" s="1"/>
      <c r="C2" s="1"/>
      <c r="D2" s="1"/>
      <c r="E2" s="1"/>
      <c r="F2" s="1"/>
      <c r="G2" s="1"/>
      <c r="H2" s="1"/>
      <c r="I2" s="2"/>
      <c r="J2" s="2"/>
      <c r="K2" s="3"/>
      <c r="L2" s="2"/>
      <c r="M2" s="1"/>
      <c r="N2" s="1"/>
      <c r="O2" s="1"/>
      <c r="P2" s="1"/>
      <c r="Q2" s="1"/>
      <c r="R2" s="1"/>
      <c r="S2" s="1"/>
      <c r="T2" s="1"/>
      <c r="U2" s="1"/>
      <c r="V2" s="1"/>
      <c r="W2" s="1"/>
      <c r="X2" s="1"/>
      <c r="Y2" s="1"/>
    </row>
    <row r="3" spans="1:25" ht="45" customHeight="1">
      <c r="A3" s="1"/>
      <c r="B3" s="42" t="s">
        <v>0</v>
      </c>
      <c r="C3" s="43"/>
      <c r="D3" s="43"/>
      <c r="E3" s="43"/>
      <c r="F3" s="43"/>
      <c r="G3" s="43"/>
      <c r="H3" s="43"/>
      <c r="I3" s="43"/>
      <c r="J3" s="43"/>
      <c r="K3" s="43"/>
      <c r="L3" s="43"/>
      <c r="M3" s="43"/>
      <c r="N3" s="43"/>
      <c r="O3" s="44"/>
      <c r="P3" s="1"/>
      <c r="Q3" s="1"/>
      <c r="R3" s="1"/>
      <c r="S3" s="1"/>
      <c r="T3" s="1"/>
      <c r="U3" s="1"/>
      <c r="V3" s="1"/>
      <c r="W3" s="1"/>
      <c r="X3" s="1"/>
      <c r="Y3" s="1"/>
    </row>
    <row r="4" spans="1:25" ht="13.8">
      <c r="A4" s="1"/>
      <c r="B4" s="1"/>
      <c r="C4" s="1"/>
      <c r="D4" s="1"/>
      <c r="E4" s="1"/>
      <c r="F4" s="1"/>
      <c r="G4" s="1"/>
      <c r="H4" s="1"/>
      <c r="I4" s="2"/>
      <c r="J4" s="2"/>
      <c r="K4" s="3"/>
      <c r="L4" s="2"/>
      <c r="M4" s="1"/>
      <c r="N4" s="1"/>
      <c r="O4" s="1"/>
      <c r="P4" s="1"/>
      <c r="Q4" s="1"/>
      <c r="R4" s="1"/>
      <c r="S4" s="1"/>
      <c r="T4" s="1"/>
      <c r="U4" s="1"/>
      <c r="V4" s="1"/>
      <c r="W4" s="1"/>
      <c r="X4" s="1"/>
      <c r="Y4" s="1"/>
    </row>
    <row r="5" spans="1:25" ht="60" customHeight="1">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row>
    <row r="6" spans="1:25" ht="82.8">
      <c r="A6" s="1"/>
      <c r="B6" s="5" t="s">
        <v>15</v>
      </c>
      <c r="C6" s="6" t="s">
        <v>16</v>
      </c>
      <c r="D6" s="6" t="s">
        <v>17</v>
      </c>
      <c r="E6" s="6" t="s">
        <v>18</v>
      </c>
      <c r="F6" s="6" t="s">
        <v>19</v>
      </c>
      <c r="G6" s="6" t="s">
        <v>20</v>
      </c>
      <c r="H6" s="6" t="s">
        <v>21</v>
      </c>
      <c r="I6" s="6">
        <v>20</v>
      </c>
      <c r="J6" s="7">
        <v>45874</v>
      </c>
      <c r="K6" s="8" t="s">
        <v>32</v>
      </c>
      <c r="L6" s="9" t="s">
        <v>191</v>
      </c>
      <c r="M6" s="9" t="s">
        <v>23</v>
      </c>
      <c r="N6" s="6" t="s">
        <v>24</v>
      </c>
      <c r="O6" s="6" t="s">
        <v>205</v>
      </c>
      <c r="P6" s="1"/>
      <c r="Q6" s="1"/>
      <c r="R6" s="1"/>
      <c r="S6" s="1"/>
      <c r="T6" s="1"/>
      <c r="U6" s="1"/>
      <c r="V6" s="1"/>
      <c r="W6" s="1"/>
      <c r="X6" s="1"/>
      <c r="Y6" s="1"/>
    </row>
    <row r="7" spans="1:25" ht="82.8">
      <c r="A7" s="1"/>
      <c r="B7" s="10" t="s">
        <v>25</v>
      </c>
      <c r="C7" s="9" t="s">
        <v>26</v>
      </c>
      <c r="D7" s="9" t="s">
        <v>27</v>
      </c>
      <c r="E7" s="9" t="s">
        <v>28</v>
      </c>
      <c r="F7" s="9" t="s">
        <v>29</v>
      </c>
      <c r="G7" s="9" t="s">
        <v>30</v>
      </c>
      <c r="H7" s="9" t="s">
        <v>31</v>
      </c>
      <c r="I7" s="9">
        <v>18</v>
      </c>
      <c r="J7" s="11">
        <v>45874</v>
      </c>
      <c r="K7" s="12" t="s">
        <v>32</v>
      </c>
      <c r="L7" s="9" t="s">
        <v>191</v>
      </c>
      <c r="M7" s="9" t="s">
        <v>33</v>
      </c>
      <c r="N7" s="9" t="s">
        <v>34</v>
      </c>
      <c r="O7" s="9" t="s">
        <v>35</v>
      </c>
      <c r="P7" s="1"/>
      <c r="Q7" s="1"/>
      <c r="R7" s="1"/>
      <c r="S7" s="1"/>
      <c r="T7" s="1"/>
      <c r="U7" s="1"/>
      <c r="V7" s="1"/>
      <c r="W7" s="1"/>
      <c r="X7" s="1"/>
      <c r="Y7" s="1"/>
    </row>
    <row r="8" spans="1:25" ht="96.6">
      <c r="A8" s="1"/>
      <c r="B8" s="10" t="s">
        <v>36</v>
      </c>
      <c r="C8" s="9" t="s">
        <v>37</v>
      </c>
      <c r="D8" s="9" t="s">
        <v>38</v>
      </c>
      <c r="E8" s="9" t="s">
        <v>39</v>
      </c>
      <c r="F8" s="9" t="s">
        <v>40</v>
      </c>
      <c r="G8" s="9" t="s">
        <v>41</v>
      </c>
      <c r="H8" s="9" t="s">
        <v>42</v>
      </c>
      <c r="I8" s="9">
        <v>15</v>
      </c>
      <c r="J8" s="11">
        <v>45874</v>
      </c>
      <c r="K8" s="12" t="s">
        <v>32</v>
      </c>
      <c r="L8" s="9" t="s">
        <v>191</v>
      </c>
      <c r="M8" s="41" t="s">
        <v>43</v>
      </c>
      <c r="N8" s="13" t="s">
        <v>44</v>
      </c>
      <c r="O8" s="13" t="s">
        <v>206</v>
      </c>
      <c r="P8" s="1"/>
      <c r="Q8" s="1"/>
      <c r="R8" s="1"/>
      <c r="S8" s="1"/>
      <c r="T8" s="1"/>
      <c r="U8" s="1"/>
      <c r="V8" s="1"/>
      <c r="W8" s="1"/>
      <c r="X8" s="1"/>
      <c r="Y8" s="1"/>
    </row>
    <row r="9" spans="1:25" ht="82.8">
      <c r="A9" s="1"/>
      <c r="B9" s="10" t="s">
        <v>45</v>
      </c>
      <c r="C9" s="9" t="s">
        <v>46</v>
      </c>
      <c r="D9" s="9" t="s">
        <v>47</v>
      </c>
      <c r="E9" s="9" t="s">
        <v>48</v>
      </c>
      <c r="F9" s="9" t="s">
        <v>40</v>
      </c>
      <c r="G9" s="9" t="s">
        <v>49</v>
      </c>
      <c r="H9" s="9" t="s">
        <v>50</v>
      </c>
      <c r="I9" s="9">
        <v>25</v>
      </c>
      <c r="J9" s="11">
        <v>45877</v>
      </c>
      <c r="K9" s="12" t="s">
        <v>32</v>
      </c>
      <c r="L9" s="9" t="s">
        <v>191</v>
      </c>
      <c r="M9" s="9" t="s">
        <v>51</v>
      </c>
      <c r="N9" s="9" t="s">
        <v>52</v>
      </c>
      <c r="O9" s="9" t="s">
        <v>207</v>
      </c>
      <c r="P9" s="1"/>
      <c r="Q9" s="1"/>
      <c r="R9" s="1"/>
      <c r="S9" s="1"/>
      <c r="T9" s="1"/>
      <c r="U9" s="1"/>
      <c r="V9" s="1"/>
      <c r="W9" s="1"/>
      <c r="X9" s="1"/>
      <c r="Y9" s="1"/>
    </row>
    <row r="10" spans="1:25" ht="69">
      <c r="A10" s="1"/>
      <c r="B10" s="10" t="s">
        <v>53</v>
      </c>
      <c r="C10" s="9" t="s">
        <v>54</v>
      </c>
      <c r="D10" s="9" t="s">
        <v>55</v>
      </c>
      <c r="E10" s="9" t="s">
        <v>56</v>
      </c>
      <c r="F10" s="9" t="s">
        <v>40</v>
      </c>
      <c r="G10" s="9" t="s">
        <v>57</v>
      </c>
      <c r="H10" s="6" t="s">
        <v>21</v>
      </c>
      <c r="I10" s="9">
        <v>8</v>
      </c>
      <c r="J10" s="11">
        <v>45874</v>
      </c>
      <c r="K10" s="12" t="s">
        <v>58</v>
      </c>
      <c r="L10" s="9" t="s">
        <v>191</v>
      </c>
      <c r="M10" s="14" t="s">
        <v>59</v>
      </c>
      <c r="N10" s="9" t="s">
        <v>60</v>
      </c>
      <c r="O10" s="9" t="s">
        <v>208</v>
      </c>
      <c r="P10" s="1"/>
      <c r="Q10" s="1"/>
      <c r="R10" s="1"/>
      <c r="S10" s="1"/>
      <c r="T10" s="1"/>
      <c r="U10" s="1"/>
      <c r="V10" s="1"/>
      <c r="W10" s="1"/>
      <c r="X10" s="1"/>
      <c r="Y10" s="1"/>
    </row>
    <row r="11" spans="1:25" ht="82.8">
      <c r="A11" s="1"/>
      <c r="B11" s="10" t="s">
        <v>61</v>
      </c>
      <c r="C11" s="9" t="s">
        <v>62</v>
      </c>
      <c r="D11" s="9" t="s">
        <v>63</v>
      </c>
      <c r="E11" s="9" t="s">
        <v>64</v>
      </c>
      <c r="F11" s="9" t="s">
        <v>40</v>
      </c>
      <c r="G11" s="9" t="s">
        <v>65</v>
      </c>
      <c r="H11" s="9" t="s">
        <v>31</v>
      </c>
      <c r="I11" s="9">
        <v>30</v>
      </c>
      <c r="J11" s="11">
        <v>45879</v>
      </c>
      <c r="K11" s="12" t="s">
        <v>32</v>
      </c>
      <c r="L11" s="9" t="s">
        <v>191</v>
      </c>
      <c r="M11" s="9" t="s">
        <v>66</v>
      </c>
      <c r="N11" s="9" t="s">
        <v>67</v>
      </c>
      <c r="O11" s="9" t="s">
        <v>209</v>
      </c>
      <c r="P11" s="1"/>
      <c r="Q11" s="1"/>
      <c r="R11" s="1"/>
      <c r="S11" s="1"/>
      <c r="T11" s="1"/>
      <c r="U11" s="1"/>
      <c r="V11" s="1"/>
      <c r="W11" s="1"/>
      <c r="X11" s="1"/>
      <c r="Y11" s="1"/>
    </row>
    <row r="12" spans="1:25" ht="96.6">
      <c r="A12" s="1"/>
      <c r="B12" s="10" t="s">
        <v>68</v>
      </c>
      <c r="C12" s="9" t="s">
        <v>69</v>
      </c>
      <c r="D12" s="9" t="s">
        <v>70</v>
      </c>
      <c r="E12" s="9" t="s">
        <v>71</v>
      </c>
      <c r="F12" s="9" t="s">
        <v>40</v>
      </c>
      <c r="G12" s="9" t="s">
        <v>72</v>
      </c>
      <c r="H12" s="9" t="s">
        <v>42</v>
      </c>
      <c r="I12" s="9">
        <v>35</v>
      </c>
      <c r="J12" s="11">
        <v>45881</v>
      </c>
      <c r="K12" s="12" t="s">
        <v>32</v>
      </c>
      <c r="L12" s="9" t="s">
        <v>22</v>
      </c>
      <c r="M12" s="9" t="s">
        <v>73</v>
      </c>
      <c r="N12" s="9" t="s">
        <v>74</v>
      </c>
      <c r="O12" s="9" t="s">
        <v>210</v>
      </c>
      <c r="P12" s="1"/>
      <c r="Q12" s="1"/>
      <c r="R12" s="1"/>
      <c r="S12" s="1"/>
      <c r="T12" s="1"/>
      <c r="U12" s="1"/>
      <c r="V12" s="1"/>
      <c r="W12" s="1"/>
      <c r="X12" s="1"/>
      <c r="Y12" s="1"/>
    </row>
    <row r="13" spans="1:25" ht="82.8">
      <c r="A13" s="1"/>
      <c r="B13" s="10" t="s">
        <v>75</v>
      </c>
      <c r="C13" s="9" t="s">
        <v>76</v>
      </c>
      <c r="D13" s="9" t="s">
        <v>77</v>
      </c>
      <c r="E13" s="9" t="s">
        <v>78</v>
      </c>
      <c r="F13" s="9" t="s">
        <v>79</v>
      </c>
      <c r="G13" s="9" t="s">
        <v>80</v>
      </c>
      <c r="H13" s="9" t="s">
        <v>50</v>
      </c>
      <c r="I13" s="9">
        <v>40</v>
      </c>
      <c r="J13" s="11">
        <v>45884</v>
      </c>
      <c r="K13" s="12" t="s">
        <v>32</v>
      </c>
      <c r="L13" s="9" t="s">
        <v>22</v>
      </c>
      <c r="M13" s="9" t="s">
        <v>81</v>
      </c>
      <c r="N13" s="9" t="s">
        <v>82</v>
      </c>
      <c r="O13" s="9" t="s">
        <v>211</v>
      </c>
      <c r="P13" s="1"/>
      <c r="Q13" s="1"/>
      <c r="R13" s="1"/>
      <c r="S13" s="1"/>
      <c r="T13" s="1"/>
      <c r="U13" s="1"/>
      <c r="V13" s="1"/>
      <c r="W13" s="1"/>
      <c r="X13" s="1"/>
      <c r="Y13" s="1"/>
    </row>
    <row r="14" spans="1:25" ht="96.6">
      <c r="A14" s="1"/>
      <c r="B14" s="10" t="s">
        <v>83</v>
      </c>
      <c r="C14" s="9" t="s">
        <v>84</v>
      </c>
      <c r="D14" s="9" t="s">
        <v>85</v>
      </c>
      <c r="E14" s="9" t="s">
        <v>86</v>
      </c>
      <c r="F14" s="9" t="s">
        <v>87</v>
      </c>
      <c r="G14" s="9" t="s">
        <v>88</v>
      </c>
      <c r="H14" s="6" t="s">
        <v>21</v>
      </c>
      <c r="I14" s="9">
        <v>45</v>
      </c>
      <c r="J14" s="11">
        <v>45887</v>
      </c>
      <c r="K14" s="12" t="s">
        <v>58</v>
      </c>
      <c r="L14" s="9" t="s">
        <v>22</v>
      </c>
      <c r="M14" s="9" t="s">
        <v>89</v>
      </c>
      <c r="N14" s="9" t="s">
        <v>90</v>
      </c>
      <c r="O14" s="9" t="s">
        <v>212</v>
      </c>
      <c r="P14" s="1"/>
      <c r="Q14" s="1"/>
      <c r="R14" s="1"/>
      <c r="S14" s="1"/>
      <c r="T14" s="1"/>
      <c r="U14" s="1"/>
      <c r="V14" s="1"/>
      <c r="W14" s="1"/>
      <c r="X14" s="1"/>
      <c r="Y14" s="1"/>
    </row>
    <row r="15" spans="1:25" ht="82.8">
      <c r="A15" s="1"/>
      <c r="B15" s="15" t="s">
        <v>91</v>
      </c>
      <c r="C15" s="9" t="s">
        <v>92</v>
      </c>
      <c r="D15" s="9" t="s">
        <v>93</v>
      </c>
      <c r="E15" s="9" t="s">
        <v>94</v>
      </c>
      <c r="F15" s="9" t="s">
        <v>29</v>
      </c>
      <c r="G15" s="9" t="s">
        <v>95</v>
      </c>
      <c r="H15" s="9" t="s">
        <v>31</v>
      </c>
      <c r="I15" s="9">
        <v>25</v>
      </c>
      <c r="J15" s="11">
        <v>45884</v>
      </c>
      <c r="K15" s="12" t="s">
        <v>32</v>
      </c>
      <c r="L15" s="9" t="s">
        <v>22</v>
      </c>
      <c r="M15" s="14" t="s">
        <v>96</v>
      </c>
      <c r="N15" s="9" t="s">
        <v>97</v>
      </c>
      <c r="O15" s="9" t="s">
        <v>213</v>
      </c>
      <c r="P15" s="1"/>
      <c r="Q15" s="1"/>
      <c r="R15" s="1"/>
      <c r="S15" s="1"/>
      <c r="T15" s="1"/>
      <c r="U15" s="1"/>
      <c r="V15" s="1"/>
      <c r="W15" s="1"/>
      <c r="X15" s="1"/>
      <c r="Y15" s="1"/>
    </row>
    <row r="16" spans="1:25" ht="96.6">
      <c r="A16" s="1"/>
      <c r="B16" s="15" t="s">
        <v>98</v>
      </c>
      <c r="C16" s="9" t="s">
        <v>99</v>
      </c>
      <c r="D16" s="9" t="s">
        <v>100</v>
      </c>
      <c r="E16" s="9" t="s">
        <v>101</v>
      </c>
      <c r="F16" s="9" t="s">
        <v>19</v>
      </c>
      <c r="G16" s="9" t="s">
        <v>102</v>
      </c>
      <c r="H16" s="9" t="s">
        <v>42</v>
      </c>
      <c r="I16" s="9">
        <v>50</v>
      </c>
      <c r="J16" s="11">
        <v>45889</v>
      </c>
      <c r="K16" s="12" t="s">
        <v>32</v>
      </c>
      <c r="L16" s="9" t="s">
        <v>22</v>
      </c>
      <c r="M16" s="14" t="s">
        <v>103</v>
      </c>
      <c r="N16" s="9" t="s">
        <v>104</v>
      </c>
      <c r="O16" s="9" t="s">
        <v>214</v>
      </c>
      <c r="P16" s="1"/>
      <c r="Q16" s="1"/>
      <c r="R16" s="1"/>
      <c r="S16" s="1"/>
      <c r="T16" s="1"/>
      <c r="U16" s="1"/>
      <c r="V16" s="1"/>
      <c r="W16" s="1"/>
      <c r="X16" s="1"/>
      <c r="Y16" s="1"/>
    </row>
    <row r="17" spans="1:25" ht="82.8">
      <c r="A17" s="1"/>
      <c r="B17" s="15" t="s">
        <v>105</v>
      </c>
      <c r="C17" s="9" t="s">
        <v>106</v>
      </c>
      <c r="D17" s="9" t="s">
        <v>107</v>
      </c>
      <c r="E17" s="9" t="s">
        <v>108</v>
      </c>
      <c r="F17" s="9" t="s">
        <v>19</v>
      </c>
      <c r="G17" s="9" t="s">
        <v>109</v>
      </c>
      <c r="H17" s="9" t="s">
        <v>50</v>
      </c>
      <c r="I17" s="9">
        <v>20</v>
      </c>
      <c r="J17" s="11">
        <v>45881</v>
      </c>
      <c r="K17" s="12" t="s">
        <v>58</v>
      </c>
      <c r="L17" s="9" t="s">
        <v>22</v>
      </c>
      <c r="M17" s="14" t="s">
        <v>110</v>
      </c>
      <c r="N17" s="9" t="s">
        <v>111</v>
      </c>
      <c r="O17" s="9" t="s">
        <v>215</v>
      </c>
      <c r="P17" s="1"/>
      <c r="Q17" s="1"/>
      <c r="R17" s="1"/>
      <c r="S17" s="1"/>
      <c r="T17" s="1"/>
      <c r="U17" s="1"/>
      <c r="V17" s="1"/>
      <c r="W17" s="1"/>
      <c r="X17" s="1"/>
      <c r="Y17" s="1"/>
    </row>
    <row r="18" spans="1:25" ht="96.6">
      <c r="A18" s="1"/>
      <c r="B18" s="15" t="s">
        <v>112</v>
      </c>
      <c r="C18" s="9" t="s">
        <v>113</v>
      </c>
      <c r="D18" s="9" t="s">
        <v>114</v>
      </c>
      <c r="E18" s="9" t="s">
        <v>115</v>
      </c>
      <c r="F18" s="9" t="s">
        <v>19</v>
      </c>
      <c r="G18" s="9" t="s">
        <v>116</v>
      </c>
      <c r="H18" s="6" t="s">
        <v>21</v>
      </c>
      <c r="I18" s="9">
        <v>25</v>
      </c>
      <c r="J18" s="11">
        <v>45881</v>
      </c>
      <c r="K18" s="12" t="s">
        <v>32</v>
      </c>
      <c r="L18" s="9" t="s">
        <v>22</v>
      </c>
      <c r="M18" s="14" t="s">
        <v>117</v>
      </c>
      <c r="N18" s="9" t="s">
        <v>118</v>
      </c>
      <c r="O18" s="9" t="s">
        <v>216</v>
      </c>
      <c r="P18" s="1"/>
      <c r="Q18" s="1"/>
      <c r="R18" s="1"/>
      <c r="S18" s="1"/>
      <c r="T18" s="1"/>
      <c r="U18" s="1"/>
      <c r="V18" s="1"/>
      <c r="W18" s="1"/>
      <c r="X18" s="1"/>
      <c r="Y18" s="1"/>
    </row>
    <row r="19" spans="1:25" ht="96.6">
      <c r="A19" s="1"/>
      <c r="B19" s="15" t="s">
        <v>119</v>
      </c>
      <c r="C19" s="9" t="s">
        <v>120</v>
      </c>
      <c r="D19" s="9" t="s">
        <v>121</v>
      </c>
      <c r="E19" s="9" t="s">
        <v>122</v>
      </c>
      <c r="F19" s="9" t="s">
        <v>19</v>
      </c>
      <c r="G19" s="9" t="s">
        <v>123</v>
      </c>
      <c r="H19" s="9" t="s">
        <v>31</v>
      </c>
      <c r="I19" s="9">
        <v>30</v>
      </c>
      <c r="J19" s="11">
        <v>45884</v>
      </c>
      <c r="K19" s="12" t="s">
        <v>58</v>
      </c>
      <c r="L19" s="9" t="s">
        <v>22</v>
      </c>
      <c r="M19" s="14" t="s">
        <v>124</v>
      </c>
      <c r="N19" s="9" t="s">
        <v>125</v>
      </c>
      <c r="O19" s="9" t="s">
        <v>217</v>
      </c>
      <c r="P19" s="1"/>
      <c r="Q19" s="1"/>
      <c r="R19" s="1"/>
      <c r="S19" s="1"/>
      <c r="T19" s="1"/>
      <c r="U19" s="1"/>
      <c r="V19" s="1"/>
      <c r="W19" s="1"/>
      <c r="X19" s="1"/>
      <c r="Y19" s="1"/>
    </row>
    <row r="20" spans="1:25" ht="82.8">
      <c r="A20" s="1"/>
      <c r="B20" s="15" t="s">
        <v>126</v>
      </c>
      <c r="C20" s="9" t="s">
        <v>127</v>
      </c>
      <c r="D20" s="9" t="s">
        <v>128</v>
      </c>
      <c r="E20" s="9" t="s">
        <v>129</v>
      </c>
      <c r="F20" s="9" t="s">
        <v>29</v>
      </c>
      <c r="G20" s="9" t="s">
        <v>130</v>
      </c>
      <c r="H20" s="9" t="s">
        <v>42</v>
      </c>
      <c r="I20" s="9">
        <v>28</v>
      </c>
      <c r="J20" s="11">
        <v>45887</v>
      </c>
      <c r="K20" s="12" t="s">
        <v>32</v>
      </c>
      <c r="L20" s="9" t="s">
        <v>22</v>
      </c>
      <c r="M20" s="14" t="s">
        <v>131</v>
      </c>
      <c r="N20" s="9" t="s">
        <v>132</v>
      </c>
      <c r="O20" s="9" t="s">
        <v>218</v>
      </c>
      <c r="P20" s="1"/>
      <c r="Q20" s="1"/>
      <c r="R20" s="1"/>
      <c r="S20" s="1"/>
      <c r="T20" s="1"/>
      <c r="U20" s="1"/>
      <c r="V20" s="1"/>
      <c r="W20" s="1"/>
      <c r="X20" s="1"/>
      <c r="Y20" s="1"/>
    </row>
    <row r="21" spans="1:25" ht="96.6">
      <c r="A21" s="1"/>
      <c r="B21" s="15" t="s">
        <v>133</v>
      </c>
      <c r="C21" s="9" t="s">
        <v>134</v>
      </c>
      <c r="D21" s="9" t="s">
        <v>135</v>
      </c>
      <c r="E21" s="9" t="s">
        <v>136</v>
      </c>
      <c r="F21" s="9" t="s">
        <v>29</v>
      </c>
      <c r="G21" s="9" t="s">
        <v>137</v>
      </c>
      <c r="H21" s="9" t="s">
        <v>50</v>
      </c>
      <c r="I21" s="9">
        <v>30</v>
      </c>
      <c r="J21" s="11">
        <v>45887</v>
      </c>
      <c r="K21" s="12" t="s">
        <v>32</v>
      </c>
      <c r="L21" s="9" t="s">
        <v>22</v>
      </c>
      <c r="M21" s="14" t="s">
        <v>138</v>
      </c>
      <c r="N21" s="9" t="s">
        <v>139</v>
      </c>
      <c r="O21" s="9" t="s">
        <v>219</v>
      </c>
      <c r="P21" s="1"/>
      <c r="Q21" s="1"/>
      <c r="R21" s="1"/>
      <c r="S21" s="1"/>
      <c r="T21" s="1"/>
      <c r="U21" s="1"/>
      <c r="V21" s="1"/>
      <c r="W21" s="1"/>
      <c r="X21" s="1"/>
      <c r="Y21" s="1"/>
    </row>
    <row r="22" spans="1:25" ht="96.6">
      <c r="A22" s="1"/>
      <c r="B22" s="15" t="s">
        <v>140</v>
      </c>
      <c r="C22" s="9" t="s">
        <v>141</v>
      </c>
      <c r="D22" s="9" t="s">
        <v>142</v>
      </c>
      <c r="E22" s="9" t="s">
        <v>143</v>
      </c>
      <c r="F22" s="9" t="s">
        <v>144</v>
      </c>
      <c r="G22" s="9" t="s">
        <v>145</v>
      </c>
      <c r="H22" s="6" t="s">
        <v>21</v>
      </c>
      <c r="I22" s="9">
        <v>35</v>
      </c>
      <c r="J22" s="11">
        <v>45889</v>
      </c>
      <c r="K22" s="12" t="s">
        <v>32</v>
      </c>
      <c r="L22" s="9" t="s">
        <v>22</v>
      </c>
      <c r="M22" s="14" t="s">
        <v>146</v>
      </c>
      <c r="N22" s="9" t="s">
        <v>147</v>
      </c>
      <c r="O22" s="9" t="s">
        <v>220</v>
      </c>
      <c r="P22" s="1"/>
      <c r="Q22" s="1"/>
      <c r="R22" s="1"/>
      <c r="S22" s="1"/>
      <c r="T22" s="1"/>
      <c r="U22" s="1"/>
      <c r="V22" s="1"/>
      <c r="W22" s="1"/>
      <c r="X22" s="1"/>
      <c r="Y22" s="1"/>
    </row>
    <row r="23" spans="1:25" ht="96.6">
      <c r="A23" s="1"/>
      <c r="B23" s="15" t="s">
        <v>148</v>
      </c>
      <c r="C23" s="9" t="s">
        <v>149</v>
      </c>
      <c r="D23" s="9" t="s">
        <v>150</v>
      </c>
      <c r="E23" s="9" t="s">
        <v>151</v>
      </c>
      <c r="F23" s="9" t="s">
        <v>144</v>
      </c>
      <c r="G23" s="9" t="s">
        <v>152</v>
      </c>
      <c r="H23" s="9" t="s">
        <v>31</v>
      </c>
      <c r="I23" s="9">
        <v>18</v>
      </c>
      <c r="J23" s="11">
        <v>45879</v>
      </c>
      <c r="K23" s="12" t="s">
        <v>58</v>
      </c>
      <c r="L23" s="9" t="s">
        <v>22</v>
      </c>
      <c r="M23" s="14" t="s">
        <v>153</v>
      </c>
      <c r="N23" s="9" t="s">
        <v>154</v>
      </c>
      <c r="O23" s="9" t="s">
        <v>221</v>
      </c>
      <c r="P23" s="1"/>
      <c r="Q23" s="1"/>
      <c r="R23" s="1"/>
      <c r="S23" s="1"/>
      <c r="T23" s="1"/>
      <c r="U23" s="1"/>
      <c r="V23" s="1"/>
      <c r="W23" s="1"/>
      <c r="X23" s="1"/>
      <c r="Y23" s="1"/>
    </row>
    <row r="24" spans="1:25" ht="82.8">
      <c r="A24" s="1"/>
      <c r="B24" s="15" t="s">
        <v>155</v>
      </c>
      <c r="C24" s="9" t="s">
        <v>156</v>
      </c>
      <c r="D24" s="9" t="s">
        <v>157</v>
      </c>
      <c r="E24" s="9" t="s">
        <v>158</v>
      </c>
      <c r="F24" s="9" t="s">
        <v>144</v>
      </c>
      <c r="G24" s="9" t="s">
        <v>159</v>
      </c>
      <c r="H24" s="9" t="s">
        <v>42</v>
      </c>
      <c r="I24" s="9">
        <v>22</v>
      </c>
      <c r="J24" s="11">
        <v>45881</v>
      </c>
      <c r="K24" s="12" t="s">
        <v>58</v>
      </c>
      <c r="L24" s="9" t="s">
        <v>22</v>
      </c>
      <c r="M24" s="14" t="s">
        <v>160</v>
      </c>
      <c r="N24" s="9" t="s">
        <v>161</v>
      </c>
      <c r="O24" s="9" t="s">
        <v>222</v>
      </c>
      <c r="P24" s="1"/>
      <c r="Q24" s="1"/>
      <c r="R24" s="1"/>
      <c r="S24" s="1"/>
      <c r="T24" s="1"/>
      <c r="U24" s="1"/>
      <c r="V24" s="1"/>
      <c r="W24" s="1"/>
      <c r="X24" s="1"/>
      <c r="Y24" s="1"/>
    </row>
    <row r="25" spans="1:25" ht="96.6">
      <c r="A25" s="1"/>
      <c r="B25" s="15" t="s">
        <v>162</v>
      </c>
      <c r="C25" s="9" t="s">
        <v>163</v>
      </c>
      <c r="D25" s="9" t="s">
        <v>164</v>
      </c>
      <c r="E25" s="9" t="s">
        <v>165</v>
      </c>
      <c r="F25" s="9" t="s">
        <v>40</v>
      </c>
      <c r="G25" s="9" t="s">
        <v>166</v>
      </c>
      <c r="H25" s="9" t="s">
        <v>50</v>
      </c>
      <c r="I25" s="9">
        <v>40</v>
      </c>
      <c r="J25" s="11">
        <v>45891</v>
      </c>
      <c r="K25" s="12" t="s">
        <v>32</v>
      </c>
      <c r="L25" s="9" t="s">
        <v>22</v>
      </c>
      <c r="M25" s="14" t="s">
        <v>167</v>
      </c>
      <c r="N25" s="9" t="s">
        <v>168</v>
      </c>
      <c r="O25" s="9" t="s">
        <v>223</v>
      </c>
      <c r="P25" s="1"/>
      <c r="Q25" s="1"/>
      <c r="R25" s="1"/>
      <c r="S25" s="1"/>
      <c r="T25" s="1"/>
      <c r="U25" s="1"/>
      <c r="V25" s="1"/>
      <c r="W25" s="1"/>
      <c r="X25" s="1"/>
      <c r="Y25" s="1"/>
    </row>
    <row r="26" spans="1:25" ht="82.8">
      <c r="A26" s="1"/>
      <c r="B26" s="15" t="s">
        <v>169</v>
      </c>
      <c r="C26" s="9" t="s">
        <v>170</v>
      </c>
      <c r="D26" s="9" t="s">
        <v>171</v>
      </c>
      <c r="E26" s="9" t="s">
        <v>172</v>
      </c>
      <c r="F26" s="9" t="s">
        <v>173</v>
      </c>
      <c r="G26" s="9" t="s">
        <v>174</v>
      </c>
      <c r="H26" s="6" t="s">
        <v>21</v>
      </c>
      <c r="I26" s="9">
        <v>25</v>
      </c>
      <c r="J26" s="11">
        <v>45894</v>
      </c>
      <c r="K26" s="12" t="s">
        <v>58</v>
      </c>
      <c r="L26" s="9" t="s">
        <v>22</v>
      </c>
      <c r="M26" s="14" t="s">
        <v>175</v>
      </c>
      <c r="N26" s="9" t="s">
        <v>176</v>
      </c>
      <c r="O26" s="9" t="s">
        <v>224</v>
      </c>
      <c r="P26" s="1"/>
      <c r="Q26" s="1"/>
      <c r="R26" s="1"/>
      <c r="S26" s="1"/>
      <c r="T26" s="1"/>
      <c r="U26" s="1"/>
      <c r="V26" s="1"/>
      <c r="W26" s="1"/>
      <c r="X26" s="1"/>
      <c r="Y26" s="1"/>
    </row>
    <row r="27" spans="1:25" ht="96.6">
      <c r="A27" s="1"/>
      <c r="B27" s="15" t="s">
        <v>177</v>
      </c>
      <c r="C27" s="9" t="s">
        <v>178</v>
      </c>
      <c r="D27" s="9" t="s">
        <v>179</v>
      </c>
      <c r="E27" s="9" t="s">
        <v>180</v>
      </c>
      <c r="F27" s="9" t="s">
        <v>79</v>
      </c>
      <c r="G27" s="9" t="s">
        <v>181</v>
      </c>
      <c r="H27" s="9" t="s">
        <v>31</v>
      </c>
      <c r="I27" s="9">
        <v>20</v>
      </c>
      <c r="J27" s="11">
        <v>45894</v>
      </c>
      <c r="K27" s="12" t="s">
        <v>58</v>
      </c>
      <c r="L27" s="9" t="s">
        <v>22</v>
      </c>
      <c r="M27" s="14" t="s">
        <v>182</v>
      </c>
      <c r="N27" s="9" t="s">
        <v>183</v>
      </c>
      <c r="O27" s="9" t="s">
        <v>225</v>
      </c>
      <c r="P27" s="1"/>
      <c r="Q27" s="1"/>
      <c r="R27" s="1"/>
      <c r="S27" s="1"/>
      <c r="T27" s="1"/>
      <c r="U27" s="1"/>
      <c r="V27" s="1"/>
      <c r="W27" s="1"/>
      <c r="X27" s="1"/>
      <c r="Y27" s="1"/>
    </row>
    <row r="28" spans="1:25" ht="82.8">
      <c r="A28" s="1"/>
      <c r="B28" s="15" t="s">
        <v>184</v>
      </c>
      <c r="C28" s="9" t="s">
        <v>185</v>
      </c>
      <c r="D28" s="9" t="s">
        <v>186</v>
      </c>
      <c r="E28" s="9" t="s">
        <v>187</v>
      </c>
      <c r="F28" s="9" t="s">
        <v>19</v>
      </c>
      <c r="G28" s="9" t="s">
        <v>188</v>
      </c>
      <c r="H28" s="9" t="s">
        <v>42</v>
      </c>
      <c r="I28" s="9">
        <v>22</v>
      </c>
      <c r="J28" s="11">
        <v>45894</v>
      </c>
      <c r="K28" s="12" t="s">
        <v>32</v>
      </c>
      <c r="L28" s="9" t="s">
        <v>22</v>
      </c>
      <c r="M28" s="14" t="s">
        <v>189</v>
      </c>
      <c r="N28" s="9" t="s">
        <v>190</v>
      </c>
      <c r="O28" s="9" t="s">
        <v>226</v>
      </c>
      <c r="P28" s="1"/>
      <c r="Q28" s="1"/>
      <c r="R28" s="1"/>
      <c r="S28" s="1"/>
      <c r="T28" s="1"/>
      <c r="U28" s="1"/>
      <c r="V28" s="1"/>
      <c r="W28" s="1"/>
      <c r="X28" s="1"/>
      <c r="Y28" s="1"/>
    </row>
    <row r="29" spans="1:25" ht="19.5" customHeight="1">
      <c r="A29" s="1"/>
      <c r="B29" s="1"/>
      <c r="C29" s="1"/>
      <c r="D29" s="1"/>
      <c r="E29" s="1"/>
      <c r="F29" s="1"/>
      <c r="G29" s="1"/>
      <c r="H29" s="1"/>
      <c r="I29" s="2"/>
      <c r="J29" s="1"/>
      <c r="K29" s="3"/>
      <c r="L29" s="3"/>
      <c r="M29" s="1"/>
      <c r="N29" s="1"/>
      <c r="O29" s="1"/>
      <c r="P29" s="1"/>
      <c r="Q29" s="1"/>
      <c r="R29" s="1"/>
      <c r="S29" s="1"/>
      <c r="T29" s="1"/>
      <c r="U29" s="1"/>
      <c r="V29" s="1"/>
      <c r="W29" s="1"/>
      <c r="X29" s="1"/>
      <c r="Y29" s="1"/>
    </row>
    <row r="30" spans="1:25" ht="19.5" customHeight="1">
      <c r="A30" s="1"/>
      <c r="B30" s="1"/>
      <c r="C30" s="1"/>
      <c r="D30" s="1"/>
      <c r="E30" s="1"/>
      <c r="F30" s="1"/>
      <c r="G30" s="1"/>
      <c r="H30" s="1"/>
      <c r="I30" s="2"/>
      <c r="J30" s="1"/>
      <c r="K30" s="1"/>
      <c r="L30" s="1"/>
      <c r="M30" s="1"/>
      <c r="N30" s="1"/>
      <c r="O30" s="1"/>
      <c r="P30" s="1"/>
      <c r="Q30" s="1"/>
      <c r="R30" s="1"/>
      <c r="S30" s="1"/>
      <c r="T30" s="1"/>
      <c r="U30" s="1"/>
      <c r="V30" s="1"/>
      <c r="W30" s="1"/>
      <c r="X30" s="1"/>
      <c r="Y30" s="1"/>
    </row>
    <row r="31" spans="1:25" ht="19.5" customHeight="1">
      <c r="A31" s="1"/>
      <c r="B31" s="1"/>
      <c r="C31" s="1"/>
      <c r="D31" s="1"/>
      <c r="E31" s="1"/>
      <c r="F31" s="1"/>
      <c r="G31" s="1"/>
      <c r="H31" s="1"/>
      <c r="I31" s="16" t="s">
        <v>32</v>
      </c>
      <c r="J31" s="16" t="s">
        <v>191</v>
      </c>
      <c r="K31" s="1"/>
      <c r="L31" s="1"/>
      <c r="M31" s="1"/>
      <c r="N31" s="1"/>
      <c r="O31" s="1"/>
      <c r="P31" s="1"/>
      <c r="Q31" s="1"/>
      <c r="R31" s="1"/>
      <c r="S31" s="1"/>
      <c r="T31" s="1"/>
      <c r="U31" s="1"/>
      <c r="V31" s="1"/>
      <c r="W31" s="1"/>
      <c r="X31" s="1"/>
      <c r="Y31" s="1"/>
    </row>
    <row r="32" spans="1:25" ht="15.75" customHeight="1">
      <c r="A32" s="1"/>
      <c r="B32" s="1"/>
      <c r="C32" s="1"/>
      <c r="D32" s="1"/>
      <c r="E32" s="1"/>
      <c r="F32" s="1"/>
      <c r="G32" s="1"/>
      <c r="H32" s="1"/>
      <c r="I32" s="16" t="s">
        <v>192</v>
      </c>
      <c r="J32" s="16" t="s">
        <v>193</v>
      </c>
      <c r="K32" s="1"/>
      <c r="L32" s="1"/>
      <c r="M32" s="1"/>
      <c r="N32" s="1"/>
      <c r="O32" s="1"/>
      <c r="P32" s="1"/>
      <c r="Q32" s="1"/>
      <c r="R32" s="1"/>
      <c r="S32" s="1"/>
      <c r="T32" s="1"/>
      <c r="U32" s="1"/>
      <c r="V32" s="1"/>
      <c r="W32" s="1"/>
      <c r="X32" s="1"/>
      <c r="Y32" s="1"/>
    </row>
    <row r="33" spans="1:25" ht="15.75" customHeight="1">
      <c r="A33" s="1"/>
      <c r="B33" s="1"/>
      <c r="C33" s="1"/>
      <c r="D33" s="1"/>
      <c r="E33" s="1"/>
      <c r="F33" s="1"/>
      <c r="G33" s="1"/>
      <c r="H33" s="1"/>
      <c r="I33" s="16" t="s">
        <v>194</v>
      </c>
      <c r="J33" s="16" t="s">
        <v>195</v>
      </c>
      <c r="K33" s="1"/>
      <c r="L33" s="1"/>
      <c r="M33" s="1"/>
      <c r="N33" s="1"/>
      <c r="O33" s="1"/>
      <c r="P33" s="1"/>
      <c r="Q33" s="1"/>
      <c r="R33" s="1"/>
      <c r="S33" s="1"/>
      <c r="T33" s="1"/>
      <c r="U33" s="1"/>
      <c r="V33" s="1"/>
      <c r="W33" s="1"/>
      <c r="X33" s="1"/>
      <c r="Y33" s="1"/>
    </row>
    <row r="34" spans="1:25" ht="15.75" customHeight="1">
      <c r="A34" s="1"/>
      <c r="B34" s="1"/>
      <c r="C34" s="1"/>
      <c r="D34" s="1"/>
      <c r="E34" s="1"/>
      <c r="F34" s="1"/>
      <c r="G34" s="1"/>
      <c r="H34" s="1"/>
      <c r="I34" s="2"/>
      <c r="J34" s="2"/>
      <c r="K34" s="3"/>
      <c r="L34" s="2"/>
      <c r="M34" s="1"/>
      <c r="N34" s="1"/>
      <c r="O34" s="1"/>
      <c r="P34" s="1"/>
      <c r="Q34" s="1"/>
      <c r="R34" s="1"/>
      <c r="S34" s="1"/>
      <c r="T34" s="1"/>
      <c r="U34" s="1"/>
      <c r="V34" s="1"/>
      <c r="W34" s="1"/>
      <c r="X34" s="1"/>
      <c r="Y34" s="1"/>
    </row>
    <row r="35" spans="1:25" ht="15.75" customHeight="1">
      <c r="A35" s="1"/>
      <c r="B35" s="1"/>
      <c r="C35" s="1"/>
      <c r="D35" s="1"/>
      <c r="E35" s="1"/>
      <c r="F35" s="1"/>
      <c r="G35" s="1"/>
      <c r="H35" s="1"/>
      <c r="I35" s="2"/>
      <c r="J35" s="2"/>
      <c r="K35" s="3"/>
      <c r="L35" s="2"/>
      <c r="M35" s="1"/>
      <c r="N35" s="1"/>
      <c r="O35" s="1"/>
      <c r="P35" s="1"/>
      <c r="Q35" s="1"/>
      <c r="R35" s="1"/>
      <c r="S35" s="1"/>
      <c r="T35" s="1"/>
      <c r="U35" s="1"/>
      <c r="V35" s="1"/>
      <c r="W35" s="1"/>
      <c r="X35" s="1"/>
      <c r="Y35" s="1"/>
    </row>
    <row r="36" spans="1:25" ht="15.75" customHeight="1">
      <c r="A36" s="1"/>
      <c r="B36" s="1"/>
      <c r="C36" s="1"/>
      <c r="D36" s="1"/>
      <c r="E36" s="1"/>
      <c r="F36" s="1"/>
      <c r="G36" s="1"/>
      <c r="H36" s="1"/>
      <c r="I36" s="2"/>
      <c r="J36" s="2"/>
      <c r="K36" s="3"/>
      <c r="L36" s="2"/>
      <c r="M36" s="1"/>
      <c r="N36" s="1"/>
      <c r="O36" s="1"/>
      <c r="P36" s="1"/>
      <c r="Q36" s="1"/>
      <c r="R36" s="1"/>
      <c r="S36" s="1"/>
      <c r="T36" s="1"/>
      <c r="U36" s="1"/>
      <c r="V36" s="1"/>
      <c r="W36" s="1"/>
      <c r="X36" s="1"/>
      <c r="Y36" s="1"/>
    </row>
    <row r="37" spans="1:25" ht="15.75" customHeight="1">
      <c r="A37" s="1"/>
      <c r="B37" s="1"/>
      <c r="C37" s="1"/>
      <c r="D37" s="1"/>
      <c r="E37" s="1"/>
      <c r="F37" s="1"/>
      <c r="G37" s="1"/>
      <c r="H37" s="1"/>
      <c r="I37" s="2"/>
      <c r="J37" s="2"/>
      <c r="K37" s="3"/>
      <c r="L37" s="2"/>
      <c r="M37" s="1"/>
      <c r="N37" s="1"/>
      <c r="O37" s="1"/>
      <c r="P37" s="1"/>
      <c r="Q37" s="1"/>
      <c r="R37" s="1"/>
      <c r="S37" s="1"/>
      <c r="T37" s="1"/>
      <c r="U37" s="1"/>
      <c r="V37" s="1"/>
      <c r="W37" s="1"/>
      <c r="X37" s="1"/>
      <c r="Y37" s="1"/>
    </row>
    <row r="38" spans="1:25" ht="15.75" customHeight="1">
      <c r="A38" s="1"/>
      <c r="B38" s="1"/>
      <c r="C38" s="1"/>
      <c r="D38" s="1"/>
      <c r="E38" s="1"/>
      <c r="F38" s="1"/>
      <c r="G38" s="1"/>
      <c r="H38" s="1"/>
      <c r="I38" s="2"/>
      <c r="J38" s="2"/>
      <c r="K38" s="3"/>
      <c r="L38" s="2"/>
      <c r="M38" s="1"/>
      <c r="N38" s="1"/>
      <c r="O38" s="1"/>
      <c r="P38" s="1"/>
      <c r="Q38" s="1"/>
      <c r="R38" s="1"/>
      <c r="S38" s="1"/>
      <c r="T38" s="1"/>
      <c r="U38" s="1"/>
      <c r="V38" s="1"/>
      <c r="W38" s="1"/>
      <c r="X38" s="1"/>
      <c r="Y38" s="1"/>
    </row>
    <row r="39" spans="1:25" ht="15.75" customHeight="1">
      <c r="A39" s="1"/>
      <c r="B39" s="1"/>
      <c r="C39" s="1"/>
      <c r="D39" s="1"/>
      <c r="E39" s="1"/>
      <c r="F39" s="1"/>
      <c r="G39" s="1"/>
      <c r="H39" s="1"/>
      <c r="I39" s="2"/>
      <c r="J39" s="2"/>
      <c r="K39" s="3"/>
      <c r="L39" s="2"/>
      <c r="M39" s="1"/>
      <c r="N39" s="1"/>
      <c r="O39" s="1"/>
      <c r="P39" s="1"/>
      <c r="Q39" s="1"/>
      <c r="R39" s="1"/>
      <c r="S39" s="1"/>
      <c r="T39" s="1"/>
      <c r="U39" s="1"/>
      <c r="V39" s="1"/>
      <c r="W39" s="1"/>
      <c r="X39" s="1"/>
      <c r="Y39" s="1"/>
    </row>
    <row r="40" spans="1:25" ht="15.75" customHeight="1">
      <c r="A40" s="1"/>
      <c r="B40" s="1"/>
      <c r="C40" s="1"/>
      <c r="D40" s="1"/>
      <c r="E40" s="1"/>
      <c r="F40" s="1"/>
      <c r="G40" s="1"/>
      <c r="H40" s="1"/>
      <c r="I40" s="2"/>
      <c r="J40" s="2"/>
      <c r="K40" s="3"/>
      <c r="L40" s="2"/>
      <c r="M40" s="1"/>
      <c r="N40" s="1"/>
      <c r="O40" s="1"/>
      <c r="P40" s="1"/>
      <c r="Q40" s="1"/>
      <c r="R40" s="1"/>
      <c r="S40" s="1"/>
      <c r="T40" s="1"/>
      <c r="U40" s="1"/>
      <c r="V40" s="1"/>
      <c r="W40" s="1"/>
      <c r="X40" s="1"/>
      <c r="Y40" s="1"/>
    </row>
    <row r="41" spans="1:25" ht="15.75" customHeight="1">
      <c r="A41" s="1"/>
      <c r="B41" s="1"/>
      <c r="C41" s="1"/>
      <c r="D41" s="1"/>
      <c r="E41" s="1"/>
      <c r="F41" s="1"/>
      <c r="G41" s="1"/>
      <c r="H41" s="1"/>
      <c r="I41" s="2"/>
      <c r="J41" s="2"/>
      <c r="K41" s="3"/>
      <c r="L41" s="2"/>
      <c r="M41" s="1"/>
      <c r="N41" s="1"/>
      <c r="O41" s="1"/>
      <c r="P41" s="1"/>
      <c r="Q41" s="1"/>
      <c r="R41" s="1"/>
      <c r="S41" s="1"/>
      <c r="T41" s="1"/>
      <c r="U41" s="1"/>
      <c r="V41" s="1"/>
      <c r="W41" s="1"/>
      <c r="X41" s="1"/>
      <c r="Y41" s="1"/>
    </row>
    <row r="42" spans="1:25" ht="15.75" customHeight="1">
      <c r="A42" s="1"/>
      <c r="B42" s="1"/>
      <c r="C42" s="1"/>
      <c r="D42" s="1"/>
      <c r="E42" s="1"/>
      <c r="F42" s="1"/>
      <c r="G42" s="1"/>
      <c r="H42" s="1"/>
      <c r="I42" s="2"/>
      <c r="J42" s="2"/>
      <c r="K42" s="3"/>
      <c r="L42" s="2"/>
      <c r="M42" s="1"/>
      <c r="N42" s="1"/>
      <c r="O42" s="1"/>
      <c r="P42" s="1"/>
      <c r="Q42" s="1"/>
      <c r="R42" s="1"/>
      <c r="S42" s="1"/>
      <c r="T42" s="1"/>
      <c r="U42" s="1"/>
      <c r="V42" s="1"/>
      <c r="W42" s="1"/>
      <c r="X42" s="1"/>
      <c r="Y42" s="1"/>
    </row>
    <row r="43" spans="1:25" ht="15.75" customHeight="1">
      <c r="A43" s="1"/>
      <c r="B43" s="1"/>
      <c r="C43" s="1"/>
      <c r="D43" s="1"/>
      <c r="E43" s="1"/>
      <c r="F43" s="1"/>
      <c r="G43" s="1"/>
      <c r="H43" s="1"/>
      <c r="I43" s="2"/>
      <c r="J43" s="2"/>
      <c r="K43" s="3"/>
      <c r="L43" s="2"/>
      <c r="M43" s="1"/>
      <c r="N43" s="1"/>
      <c r="O43" s="1"/>
      <c r="P43" s="1"/>
      <c r="Q43" s="1"/>
      <c r="R43" s="1"/>
      <c r="S43" s="1"/>
      <c r="T43" s="1"/>
      <c r="U43" s="1"/>
      <c r="V43" s="1"/>
      <c r="W43" s="1"/>
      <c r="X43" s="1"/>
      <c r="Y43" s="1"/>
    </row>
    <row r="44" spans="1:25" ht="15.75" customHeight="1">
      <c r="A44" s="1"/>
      <c r="B44" s="1"/>
      <c r="C44" s="1"/>
      <c r="D44" s="1"/>
      <c r="E44" s="1"/>
      <c r="F44" s="1"/>
      <c r="G44" s="1"/>
      <c r="H44" s="1"/>
      <c r="I44" s="2"/>
      <c r="J44" s="2"/>
      <c r="K44" s="3"/>
      <c r="L44" s="2"/>
      <c r="M44" s="1"/>
      <c r="N44" s="1"/>
      <c r="O44" s="1"/>
      <c r="P44" s="1"/>
      <c r="Q44" s="1"/>
      <c r="R44" s="1"/>
      <c r="S44" s="1"/>
      <c r="T44" s="1"/>
      <c r="U44" s="1"/>
      <c r="V44" s="1"/>
      <c r="W44" s="1"/>
      <c r="X44" s="1"/>
      <c r="Y44" s="1"/>
    </row>
    <row r="45" spans="1:25" ht="15.75" customHeight="1">
      <c r="A45" s="1"/>
      <c r="B45" s="1"/>
      <c r="C45" s="1"/>
      <c r="D45" s="1"/>
      <c r="E45" s="1"/>
      <c r="F45" s="1"/>
      <c r="G45" s="1"/>
      <c r="H45" s="1"/>
      <c r="I45" s="2"/>
      <c r="J45" s="2"/>
      <c r="K45" s="3"/>
      <c r="L45" s="2"/>
      <c r="M45" s="1"/>
      <c r="N45" s="1"/>
      <c r="O45" s="1"/>
      <c r="P45" s="1"/>
      <c r="Q45" s="1"/>
      <c r="R45" s="1"/>
      <c r="S45" s="1"/>
      <c r="T45" s="1"/>
      <c r="U45" s="1"/>
      <c r="V45" s="1"/>
      <c r="W45" s="1"/>
      <c r="X45" s="1"/>
      <c r="Y45" s="1"/>
    </row>
    <row r="46" spans="1:25" ht="15.75" customHeight="1">
      <c r="A46" s="1"/>
      <c r="B46" s="1"/>
      <c r="C46" s="1"/>
      <c r="D46" s="1"/>
      <c r="E46" s="1"/>
      <c r="F46" s="1"/>
      <c r="G46" s="1"/>
      <c r="H46" s="1"/>
      <c r="I46" s="2"/>
      <c r="J46" s="2"/>
      <c r="K46" s="3"/>
      <c r="L46" s="2"/>
      <c r="M46" s="1"/>
      <c r="N46" s="1"/>
      <c r="O46" s="1"/>
      <c r="P46" s="1"/>
      <c r="Q46" s="1"/>
      <c r="R46" s="1"/>
      <c r="S46" s="1"/>
      <c r="T46" s="1"/>
      <c r="U46" s="1"/>
      <c r="V46" s="1"/>
      <c r="W46" s="1"/>
      <c r="X46" s="1"/>
      <c r="Y46" s="1"/>
    </row>
    <row r="47" spans="1:25" ht="15.75" customHeight="1">
      <c r="A47" s="1"/>
      <c r="B47" s="1"/>
      <c r="C47" s="1"/>
      <c r="D47" s="1"/>
      <c r="E47" s="1"/>
      <c r="F47" s="1"/>
      <c r="G47" s="1"/>
      <c r="H47" s="1"/>
      <c r="I47" s="2"/>
      <c r="J47" s="2"/>
      <c r="K47" s="3"/>
      <c r="L47" s="2"/>
      <c r="M47" s="1"/>
      <c r="N47" s="1"/>
      <c r="O47" s="1"/>
      <c r="P47" s="1"/>
      <c r="Q47" s="1"/>
      <c r="R47" s="1"/>
      <c r="S47" s="1"/>
      <c r="T47" s="1"/>
      <c r="U47" s="1"/>
      <c r="V47" s="1"/>
      <c r="W47" s="1"/>
      <c r="X47" s="1"/>
      <c r="Y47" s="1"/>
    </row>
    <row r="48" spans="1:25" ht="15.75" customHeight="1">
      <c r="A48" s="1"/>
      <c r="B48" s="1"/>
      <c r="C48" s="1"/>
      <c r="D48" s="1"/>
      <c r="E48" s="1"/>
      <c r="F48" s="1"/>
      <c r="G48" s="1"/>
      <c r="H48" s="1"/>
      <c r="I48" s="2"/>
      <c r="J48" s="2"/>
      <c r="K48" s="3"/>
      <c r="L48" s="2"/>
      <c r="M48" s="1"/>
      <c r="N48" s="1"/>
      <c r="O48" s="1"/>
      <c r="P48" s="1"/>
      <c r="Q48" s="1"/>
      <c r="R48" s="1"/>
      <c r="S48" s="1"/>
      <c r="T48" s="1"/>
      <c r="U48" s="1"/>
      <c r="V48" s="1"/>
      <c r="W48" s="1"/>
      <c r="X48" s="1"/>
      <c r="Y48" s="1"/>
    </row>
    <row r="49" spans="1:25" ht="15.75" customHeight="1">
      <c r="A49" s="1"/>
      <c r="B49" s="1"/>
      <c r="C49" s="1"/>
      <c r="D49" s="1"/>
      <c r="E49" s="1"/>
      <c r="F49" s="1"/>
      <c r="G49" s="1"/>
      <c r="H49" s="1"/>
      <c r="I49" s="2"/>
      <c r="J49" s="2"/>
      <c r="K49" s="3"/>
      <c r="L49" s="2"/>
      <c r="M49" s="1"/>
      <c r="N49" s="1"/>
      <c r="O49" s="1"/>
      <c r="P49" s="1"/>
      <c r="Q49" s="1"/>
      <c r="R49" s="1"/>
      <c r="S49" s="1"/>
      <c r="T49" s="1"/>
      <c r="U49" s="1"/>
      <c r="V49" s="1"/>
      <c r="W49" s="1"/>
      <c r="X49" s="1"/>
      <c r="Y49" s="1"/>
    </row>
    <row r="50" spans="1:25" ht="15.75" customHeight="1">
      <c r="A50" s="1"/>
      <c r="B50" s="1"/>
      <c r="C50" s="1"/>
      <c r="D50" s="1"/>
      <c r="E50" s="1"/>
      <c r="F50" s="1"/>
      <c r="G50" s="1"/>
      <c r="H50" s="1"/>
      <c r="I50" s="2"/>
      <c r="J50" s="2"/>
      <c r="K50" s="3"/>
      <c r="L50" s="2"/>
      <c r="M50" s="1"/>
      <c r="N50" s="1"/>
      <c r="O50" s="1"/>
      <c r="P50" s="1"/>
      <c r="Q50" s="1"/>
      <c r="R50" s="1"/>
      <c r="S50" s="1"/>
      <c r="T50" s="1"/>
      <c r="U50" s="1"/>
      <c r="V50" s="1"/>
      <c r="W50" s="1"/>
      <c r="X50" s="1"/>
      <c r="Y50" s="1"/>
    </row>
    <row r="51" spans="1:25" ht="15.75" customHeight="1">
      <c r="A51" s="1"/>
      <c r="B51" s="1"/>
      <c r="C51" s="1"/>
      <c r="D51" s="1"/>
      <c r="E51" s="1"/>
      <c r="F51" s="1"/>
      <c r="G51" s="1"/>
      <c r="H51" s="1"/>
      <c r="I51" s="2"/>
      <c r="J51" s="2"/>
      <c r="K51" s="3"/>
      <c r="L51" s="2"/>
      <c r="M51" s="1"/>
      <c r="N51" s="1"/>
      <c r="O51" s="1"/>
      <c r="P51" s="1"/>
      <c r="Q51" s="1"/>
      <c r="R51" s="1"/>
      <c r="S51" s="1"/>
      <c r="T51" s="1"/>
      <c r="U51" s="1"/>
      <c r="V51" s="1"/>
      <c r="W51" s="1"/>
      <c r="X51" s="1"/>
      <c r="Y51" s="1"/>
    </row>
    <row r="52" spans="1:25" ht="15.75" customHeight="1">
      <c r="A52" s="1"/>
      <c r="B52" s="1"/>
      <c r="C52" s="1"/>
      <c r="D52" s="1"/>
      <c r="E52" s="1"/>
      <c r="F52" s="1"/>
      <c r="G52" s="1"/>
      <c r="H52" s="1"/>
      <c r="I52" s="2"/>
      <c r="J52" s="2"/>
      <c r="K52" s="3"/>
      <c r="L52" s="2"/>
      <c r="M52" s="1"/>
      <c r="N52" s="1"/>
      <c r="O52" s="1"/>
      <c r="P52" s="1"/>
      <c r="Q52" s="1"/>
      <c r="R52" s="1"/>
      <c r="S52" s="1"/>
      <c r="T52" s="1"/>
      <c r="U52" s="1"/>
      <c r="V52" s="1"/>
      <c r="W52" s="1"/>
      <c r="X52" s="1"/>
      <c r="Y52" s="1"/>
    </row>
    <row r="53" spans="1:25" ht="15.75" customHeight="1">
      <c r="A53" s="1"/>
      <c r="B53" s="1"/>
      <c r="C53" s="1"/>
      <c r="D53" s="1"/>
      <c r="E53" s="1"/>
      <c r="F53" s="1"/>
      <c r="G53" s="1"/>
      <c r="H53" s="1"/>
      <c r="I53" s="2"/>
      <c r="J53" s="2"/>
      <c r="K53" s="3"/>
      <c r="L53" s="2"/>
      <c r="M53" s="1"/>
      <c r="N53" s="1"/>
      <c r="O53" s="1"/>
      <c r="P53" s="1"/>
      <c r="Q53" s="1"/>
      <c r="R53" s="1"/>
      <c r="S53" s="1"/>
      <c r="T53" s="1"/>
      <c r="U53" s="1"/>
      <c r="V53" s="1"/>
      <c r="W53" s="1"/>
      <c r="X53" s="1"/>
      <c r="Y53" s="1"/>
    </row>
    <row r="54" spans="1:25" ht="15.75" customHeight="1">
      <c r="A54" s="1"/>
      <c r="B54" s="1"/>
      <c r="C54" s="1"/>
      <c r="D54" s="1"/>
      <c r="E54" s="1"/>
      <c r="F54" s="1"/>
      <c r="G54" s="1"/>
      <c r="H54" s="1"/>
      <c r="I54" s="2"/>
      <c r="J54" s="2"/>
      <c r="K54" s="3"/>
      <c r="L54" s="2"/>
      <c r="M54" s="1"/>
      <c r="N54" s="1"/>
      <c r="O54" s="1"/>
      <c r="P54" s="1"/>
      <c r="Q54" s="1"/>
      <c r="R54" s="1"/>
      <c r="S54" s="1"/>
      <c r="T54" s="1"/>
      <c r="U54" s="1"/>
      <c r="V54" s="1"/>
      <c r="W54" s="1"/>
      <c r="X54" s="1"/>
      <c r="Y54" s="1"/>
    </row>
    <row r="55" spans="1:25" ht="15.75" customHeight="1">
      <c r="A55" s="1"/>
      <c r="B55" s="1"/>
      <c r="C55" s="1"/>
      <c r="D55" s="1"/>
      <c r="E55" s="1"/>
      <c r="F55" s="1"/>
      <c r="G55" s="1"/>
      <c r="H55" s="1"/>
      <c r="I55" s="2"/>
      <c r="J55" s="2"/>
      <c r="K55" s="3"/>
      <c r="L55" s="2"/>
      <c r="M55" s="1"/>
      <c r="N55" s="1"/>
      <c r="O55" s="1"/>
      <c r="P55" s="1"/>
      <c r="Q55" s="1"/>
      <c r="R55" s="1"/>
      <c r="S55" s="1"/>
      <c r="T55" s="1"/>
      <c r="U55" s="1"/>
      <c r="V55" s="1"/>
      <c r="W55" s="1"/>
      <c r="X55" s="1"/>
      <c r="Y55" s="1"/>
    </row>
    <row r="56" spans="1:25" ht="15.75" customHeight="1">
      <c r="A56" s="1"/>
      <c r="B56" s="1"/>
      <c r="C56" s="1"/>
      <c r="D56" s="1"/>
      <c r="E56" s="1"/>
      <c r="F56" s="1"/>
      <c r="G56" s="1"/>
      <c r="H56" s="1"/>
      <c r="I56" s="2"/>
      <c r="J56" s="2"/>
      <c r="K56" s="3"/>
      <c r="L56" s="2"/>
      <c r="M56" s="1"/>
      <c r="N56" s="1"/>
      <c r="O56" s="1"/>
      <c r="P56" s="1"/>
      <c r="Q56" s="1"/>
      <c r="R56" s="1"/>
      <c r="S56" s="1"/>
      <c r="T56" s="1"/>
      <c r="U56" s="1"/>
      <c r="V56" s="1"/>
      <c r="W56" s="1"/>
      <c r="X56" s="1"/>
      <c r="Y56" s="1"/>
    </row>
    <row r="57" spans="1:25" ht="15.75" customHeight="1">
      <c r="A57" s="1"/>
      <c r="B57" s="1"/>
      <c r="C57" s="1"/>
      <c r="D57" s="1"/>
      <c r="E57" s="1"/>
      <c r="F57" s="1"/>
      <c r="G57" s="1"/>
      <c r="H57" s="1"/>
      <c r="I57" s="2"/>
      <c r="J57" s="2"/>
      <c r="K57" s="3"/>
      <c r="L57" s="2"/>
      <c r="M57" s="1"/>
      <c r="N57" s="1"/>
      <c r="O57" s="1"/>
      <c r="P57" s="1"/>
      <c r="Q57" s="1"/>
      <c r="R57" s="1"/>
      <c r="S57" s="1"/>
      <c r="T57" s="1"/>
      <c r="U57" s="1"/>
      <c r="V57" s="1"/>
      <c r="W57" s="1"/>
      <c r="X57" s="1"/>
      <c r="Y57" s="1"/>
    </row>
    <row r="58" spans="1:25" ht="15.75" customHeight="1">
      <c r="A58" s="1"/>
      <c r="B58" s="1"/>
      <c r="C58" s="1"/>
      <c r="D58" s="1"/>
      <c r="E58" s="1"/>
      <c r="F58" s="1"/>
      <c r="G58" s="1"/>
      <c r="H58" s="1"/>
      <c r="I58" s="2"/>
      <c r="J58" s="2"/>
      <c r="K58" s="3"/>
      <c r="L58" s="2"/>
      <c r="M58" s="1"/>
      <c r="N58" s="1"/>
      <c r="O58" s="1"/>
      <c r="P58" s="1"/>
      <c r="Q58" s="1"/>
      <c r="R58" s="1"/>
      <c r="S58" s="1"/>
      <c r="T58" s="1"/>
      <c r="U58" s="1"/>
      <c r="V58" s="1"/>
      <c r="W58" s="1"/>
      <c r="X58" s="1"/>
      <c r="Y58" s="1"/>
    </row>
    <row r="59" spans="1:25" ht="15.75" customHeight="1">
      <c r="A59" s="1"/>
      <c r="B59" s="1"/>
      <c r="C59" s="1"/>
      <c r="D59" s="1"/>
      <c r="E59" s="1"/>
      <c r="F59" s="1"/>
      <c r="G59" s="1"/>
      <c r="H59" s="1"/>
      <c r="I59" s="2"/>
      <c r="J59" s="2"/>
      <c r="K59" s="3"/>
      <c r="L59" s="2"/>
      <c r="M59" s="1"/>
      <c r="N59" s="1"/>
      <c r="O59" s="1"/>
      <c r="P59" s="1"/>
      <c r="Q59" s="1"/>
      <c r="R59" s="1"/>
      <c r="S59" s="1"/>
      <c r="T59" s="1"/>
      <c r="U59" s="1"/>
      <c r="V59" s="1"/>
      <c r="W59" s="1"/>
      <c r="X59" s="1"/>
      <c r="Y59" s="1"/>
    </row>
    <row r="60" spans="1:25" ht="15.75" customHeight="1">
      <c r="A60" s="1"/>
      <c r="B60" s="1"/>
      <c r="C60" s="1"/>
      <c r="D60" s="1"/>
      <c r="E60" s="1"/>
      <c r="F60" s="1"/>
      <c r="G60" s="1"/>
      <c r="H60" s="1"/>
      <c r="I60" s="2"/>
      <c r="J60" s="2"/>
      <c r="K60" s="3"/>
      <c r="L60" s="2"/>
      <c r="M60" s="1"/>
      <c r="N60" s="1"/>
      <c r="O60" s="1"/>
      <c r="P60" s="1"/>
      <c r="Q60" s="1"/>
      <c r="R60" s="1"/>
      <c r="S60" s="1"/>
      <c r="T60" s="1"/>
      <c r="U60" s="1"/>
      <c r="V60" s="1"/>
      <c r="W60" s="1"/>
      <c r="X60" s="1"/>
      <c r="Y60" s="1"/>
    </row>
    <row r="61" spans="1:25" ht="15.75" customHeight="1">
      <c r="A61" s="1"/>
      <c r="B61" s="1"/>
      <c r="C61" s="1"/>
      <c r="D61" s="1"/>
      <c r="E61" s="1"/>
      <c r="F61" s="1"/>
      <c r="G61" s="1"/>
      <c r="H61" s="1"/>
      <c r="I61" s="2"/>
      <c r="J61" s="2"/>
      <c r="K61" s="3"/>
      <c r="L61" s="2"/>
      <c r="M61" s="1"/>
      <c r="N61" s="1"/>
      <c r="O61" s="1"/>
      <c r="P61" s="1"/>
      <c r="Q61" s="1"/>
      <c r="R61" s="1"/>
      <c r="S61" s="1"/>
      <c r="T61" s="1"/>
      <c r="U61" s="1"/>
      <c r="V61" s="1"/>
      <c r="W61" s="1"/>
      <c r="X61" s="1"/>
      <c r="Y61" s="1"/>
    </row>
    <row r="62" spans="1:25" ht="15.75" customHeight="1">
      <c r="A62" s="1"/>
      <c r="B62" s="1"/>
      <c r="C62" s="1"/>
      <c r="D62" s="1"/>
      <c r="E62" s="1"/>
      <c r="F62" s="1"/>
      <c r="G62" s="1"/>
      <c r="H62" s="1"/>
      <c r="I62" s="2"/>
      <c r="J62" s="2"/>
      <c r="K62" s="3"/>
      <c r="L62" s="2"/>
      <c r="M62" s="1"/>
      <c r="N62" s="1"/>
      <c r="O62" s="1"/>
      <c r="P62" s="1"/>
      <c r="Q62" s="1"/>
      <c r="R62" s="1"/>
      <c r="S62" s="1"/>
      <c r="T62" s="1"/>
      <c r="U62" s="1"/>
      <c r="V62" s="1"/>
      <c r="W62" s="1"/>
      <c r="X62" s="1"/>
      <c r="Y62" s="1"/>
    </row>
    <row r="63" spans="1:25" ht="15.75" customHeight="1">
      <c r="A63" s="1"/>
      <c r="B63" s="1"/>
      <c r="C63" s="1"/>
      <c r="D63" s="1"/>
      <c r="E63" s="1"/>
      <c r="F63" s="1"/>
      <c r="G63" s="1"/>
      <c r="H63" s="1"/>
      <c r="I63" s="2"/>
      <c r="J63" s="2"/>
      <c r="K63" s="3"/>
      <c r="L63" s="2"/>
      <c r="M63" s="1"/>
      <c r="N63" s="1"/>
      <c r="O63" s="1"/>
      <c r="P63" s="1"/>
      <c r="Q63" s="1"/>
      <c r="R63" s="1"/>
      <c r="S63" s="1"/>
      <c r="T63" s="1"/>
      <c r="U63" s="1"/>
      <c r="V63" s="1"/>
      <c r="W63" s="1"/>
      <c r="X63" s="1"/>
      <c r="Y63" s="1"/>
    </row>
    <row r="64" spans="1:25" ht="15.75" customHeight="1">
      <c r="A64" s="1"/>
      <c r="B64" s="1"/>
      <c r="C64" s="1"/>
      <c r="D64" s="1"/>
      <c r="E64" s="1"/>
      <c r="F64" s="1"/>
      <c r="G64" s="1"/>
      <c r="H64" s="1"/>
      <c r="I64" s="2"/>
      <c r="J64" s="2"/>
      <c r="K64" s="3"/>
      <c r="L64" s="2"/>
      <c r="M64" s="1"/>
      <c r="N64" s="1"/>
      <c r="O64" s="1"/>
      <c r="P64" s="1"/>
      <c r="Q64" s="1"/>
      <c r="R64" s="1"/>
      <c r="S64" s="1"/>
      <c r="T64" s="1"/>
      <c r="U64" s="1"/>
      <c r="V64" s="1"/>
      <c r="W64" s="1"/>
      <c r="X64" s="1"/>
      <c r="Y64" s="1"/>
    </row>
    <row r="65" spans="1:25" ht="15.75" customHeight="1">
      <c r="A65" s="1"/>
      <c r="B65" s="1"/>
      <c r="C65" s="1"/>
      <c r="D65" s="1"/>
      <c r="E65" s="1"/>
      <c r="F65" s="1"/>
      <c r="G65" s="1"/>
      <c r="H65" s="1"/>
      <c r="I65" s="2"/>
      <c r="J65" s="2"/>
      <c r="K65" s="3"/>
      <c r="L65" s="2"/>
      <c r="M65" s="1"/>
      <c r="N65" s="1"/>
      <c r="O65" s="1"/>
      <c r="P65" s="1"/>
      <c r="Q65" s="1"/>
      <c r="R65" s="1"/>
      <c r="S65" s="1"/>
      <c r="T65" s="1"/>
      <c r="U65" s="1"/>
      <c r="V65" s="1"/>
      <c r="W65" s="1"/>
      <c r="X65" s="1"/>
      <c r="Y65" s="1"/>
    </row>
    <row r="66" spans="1:25" ht="15.75" customHeight="1">
      <c r="A66" s="1"/>
      <c r="B66" s="1"/>
      <c r="C66" s="1"/>
      <c r="D66" s="1"/>
      <c r="E66" s="1"/>
      <c r="F66" s="1"/>
      <c r="G66" s="1"/>
      <c r="H66" s="1"/>
      <c r="I66" s="2"/>
      <c r="J66" s="2"/>
      <c r="K66" s="3"/>
      <c r="L66" s="2"/>
      <c r="M66" s="1"/>
      <c r="N66" s="1"/>
      <c r="O66" s="1"/>
      <c r="P66" s="1"/>
      <c r="Q66" s="1"/>
      <c r="R66" s="1"/>
      <c r="S66" s="1"/>
      <c r="T66" s="1"/>
      <c r="U66" s="1"/>
      <c r="V66" s="1"/>
      <c r="W66" s="1"/>
      <c r="X66" s="1"/>
      <c r="Y66" s="1"/>
    </row>
    <row r="67" spans="1:25" ht="15.75" customHeight="1">
      <c r="A67" s="1"/>
      <c r="B67" s="1"/>
      <c r="C67" s="1"/>
      <c r="D67" s="1"/>
      <c r="E67" s="1"/>
      <c r="F67" s="1"/>
      <c r="G67" s="1"/>
      <c r="H67" s="1"/>
      <c r="I67" s="2"/>
      <c r="J67" s="2"/>
      <c r="K67" s="3"/>
      <c r="L67" s="2"/>
      <c r="M67" s="1"/>
      <c r="N67" s="1"/>
      <c r="O67" s="1"/>
      <c r="P67" s="1"/>
      <c r="Q67" s="1"/>
      <c r="R67" s="1"/>
      <c r="S67" s="1"/>
      <c r="T67" s="1"/>
      <c r="U67" s="1"/>
      <c r="V67" s="1"/>
      <c r="W67" s="1"/>
      <c r="X67" s="1"/>
      <c r="Y67" s="1"/>
    </row>
    <row r="68" spans="1:25" ht="15.75" customHeight="1">
      <c r="A68" s="1"/>
      <c r="B68" s="1"/>
      <c r="C68" s="1"/>
      <c r="D68" s="1"/>
      <c r="E68" s="1"/>
      <c r="F68" s="1"/>
      <c r="G68" s="1"/>
      <c r="H68" s="1"/>
      <c r="I68" s="2"/>
      <c r="J68" s="2"/>
      <c r="K68" s="3"/>
      <c r="L68" s="2"/>
      <c r="M68" s="1"/>
      <c r="N68" s="1"/>
      <c r="O68" s="1"/>
      <c r="P68" s="1"/>
      <c r="Q68" s="1"/>
      <c r="R68" s="1"/>
      <c r="S68" s="1"/>
      <c r="T68" s="1"/>
      <c r="U68" s="1"/>
      <c r="V68" s="1"/>
      <c r="W68" s="1"/>
      <c r="X68" s="1"/>
      <c r="Y68" s="1"/>
    </row>
    <row r="69" spans="1:25" ht="15.75" customHeight="1">
      <c r="A69" s="1"/>
      <c r="B69" s="1"/>
      <c r="C69" s="1"/>
      <c r="D69" s="1"/>
      <c r="E69" s="1"/>
      <c r="F69" s="1"/>
      <c r="G69" s="1"/>
      <c r="H69" s="1"/>
      <c r="I69" s="2"/>
      <c r="J69" s="2"/>
      <c r="K69" s="3"/>
      <c r="L69" s="2"/>
      <c r="M69" s="1"/>
      <c r="N69" s="1"/>
      <c r="O69" s="1"/>
      <c r="P69" s="1"/>
      <c r="Q69" s="1"/>
      <c r="R69" s="1"/>
      <c r="S69" s="1"/>
      <c r="T69" s="1"/>
      <c r="U69" s="1"/>
      <c r="V69" s="1"/>
      <c r="W69" s="1"/>
      <c r="X69" s="1"/>
      <c r="Y69" s="1"/>
    </row>
    <row r="70" spans="1:25" ht="15.75" customHeight="1">
      <c r="A70" s="1"/>
      <c r="B70" s="1"/>
      <c r="C70" s="1"/>
      <c r="D70" s="1"/>
      <c r="E70" s="1"/>
      <c r="F70" s="1"/>
      <c r="G70" s="1"/>
      <c r="H70" s="1"/>
      <c r="I70" s="2"/>
      <c r="J70" s="2"/>
      <c r="K70" s="3"/>
      <c r="L70" s="2"/>
      <c r="M70" s="1"/>
      <c r="N70" s="1"/>
      <c r="O70" s="1"/>
      <c r="P70" s="1"/>
      <c r="Q70" s="1"/>
      <c r="R70" s="1"/>
      <c r="S70" s="1"/>
      <c r="T70" s="1"/>
      <c r="U70" s="1"/>
      <c r="V70" s="1"/>
      <c r="W70" s="1"/>
      <c r="X70" s="1"/>
      <c r="Y70" s="1"/>
    </row>
    <row r="71" spans="1:25" ht="15.75" customHeight="1">
      <c r="A71" s="1"/>
      <c r="B71" s="1"/>
      <c r="C71" s="1"/>
      <c r="D71" s="1"/>
      <c r="E71" s="1"/>
      <c r="F71" s="1"/>
      <c r="G71" s="1"/>
      <c r="H71" s="1"/>
      <c r="I71" s="2"/>
      <c r="J71" s="2"/>
      <c r="K71" s="3"/>
      <c r="L71" s="2"/>
      <c r="M71" s="1"/>
      <c r="N71" s="1"/>
      <c r="O71" s="1"/>
      <c r="P71" s="1"/>
      <c r="Q71" s="1"/>
      <c r="R71" s="1"/>
      <c r="S71" s="1"/>
      <c r="T71" s="1"/>
      <c r="U71" s="1"/>
      <c r="V71" s="1"/>
      <c r="W71" s="1"/>
      <c r="X71" s="1"/>
      <c r="Y71" s="1"/>
    </row>
    <row r="72" spans="1:25" ht="15.75" customHeight="1">
      <c r="A72" s="1"/>
      <c r="B72" s="1"/>
      <c r="C72" s="1"/>
      <c r="D72" s="1"/>
      <c r="E72" s="1"/>
      <c r="F72" s="1"/>
      <c r="G72" s="1"/>
      <c r="H72" s="1"/>
      <c r="I72" s="2"/>
      <c r="J72" s="2"/>
      <c r="K72" s="3"/>
      <c r="L72" s="2"/>
      <c r="M72" s="1"/>
      <c r="N72" s="1"/>
      <c r="O72" s="1"/>
      <c r="P72" s="1"/>
      <c r="Q72" s="1"/>
      <c r="R72" s="1"/>
      <c r="S72" s="1"/>
      <c r="T72" s="1"/>
      <c r="U72" s="1"/>
      <c r="V72" s="1"/>
      <c r="W72" s="1"/>
      <c r="X72" s="1"/>
      <c r="Y72" s="1"/>
    </row>
    <row r="73" spans="1:25" ht="15.75" customHeight="1">
      <c r="A73" s="1"/>
      <c r="B73" s="1"/>
      <c r="C73" s="1"/>
      <c r="D73" s="1"/>
      <c r="E73" s="1"/>
      <c r="F73" s="1"/>
      <c r="G73" s="1"/>
      <c r="H73" s="1"/>
      <c r="I73" s="2"/>
      <c r="J73" s="2"/>
      <c r="K73" s="3"/>
      <c r="L73" s="2"/>
      <c r="M73" s="1"/>
      <c r="N73" s="1"/>
      <c r="O73" s="1"/>
      <c r="P73" s="1"/>
      <c r="Q73" s="1"/>
      <c r="R73" s="1"/>
      <c r="S73" s="1"/>
      <c r="T73" s="1"/>
      <c r="U73" s="1"/>
      <c r="V73" s="1"/>
      <c r="W73" s="1"/>
      <c r="X73" s="1"/>
      <c r="Y73" s="1"/>
    </row>
    <row r="74" spans="1:25" ht="15.75" customHeight="1">
      <c r="A74" s="1"/>
      <c r="B74" s="1"/>
      <c r="C74" s="1"/>
      <c r="D74" s="1"/>
      <c r="E74" s="1"/>
      <c r="F74" s="1"/>
      <c r="G74" s="1"/>
      <c r="H74" s="1"/>
      <c r="I74" s="2"/>
      <c r="J74" s="2"/>
      <c r="K74" s="3"/>
      <c r="L74" s="2"/>
      <c r="M74" s="1"/>
      <c r="N74" s="1"/>
      <c r="O74" s="1"/>
      <c r="P74" s="1"/>
      <c r="Q74" s="1"/>
      <c r="R74" s="1"/>
      <c r="S74" s="1"/>
      <c r="T74" s="1"/>
      <c r="U74" s="1"/>
      <c r="V74" s="1"/>
      <c r="W74" s="1"/>
      <c r="X74" s="1"/>
      <c r="Y74" s="1"/>
    </row>
    <row r="75" spans="1:25" ht="15.75" customHeight="1">
      <c r="A75" s="1"/>
      <c r="B75" s="1"/>
      <c r="C75" s="1"/>
      <c r="D75" s="1"/>
      <c r="E75" s="1"/>
      <c r="F75" s="1"/>
      <c r="G75" s="1"/>
      <c r="H75" s="1"/>
      <c r="I75" s="2"/>
      <c r="J75" s="2"/>
      <c r="K75" s="3"/>
      <c r="L75" s="2"/>
      <c r="M75" s="1"/>
      <c r="N75" s="1"/>
      <c r="O75" s="1"/>
      <c r="P75" s="1"/>
      <c r="Q75" s="1"/>
      <c r="R75" s="1"/>
      <c r="S75" s="1"/>
      <c r="T75" s="1"/>
      <c r="U75" s="1"/>
      <c r="V75" s="1"/>
      <c r="W75" s="1"/>
      <c r="X75" s="1"/>
      <c r="Y75" s="1"/>
    </row>
    <row r="76" spans="1:25" ht="15.75" customHeight="1">
      <c r="A76" s="1"/>
      <c r="B76" s="1"/>
      <c r="C76" s="1"/>
      <c r="D76" s="1"/>
      <c r="E76" s="1"/>
      <c r="F76" s="1"/>
      <c r="G76" s="1"/>
      <c r="H76" s="1"/>
      <c r="I76" s="2"/>
      <c r="J76" s="2"/>
      <c r="K76" s="3"/>
      <c r="L76" s="2"/>
      <c r="M76" s="1"/>
      <c r="N76" s="1"/>
      <c r="O76" s="1"/>
      <c r="P76" s="1"/>
      <c r="Q76" s="1"/>
      <c r="R76" s="1"/>
      <c r="S76" s="1"/>
      <c r="T76" s="1"/>
      <c r="U76" s="1"/>
      <c r="V76" s="1"/>
      <c r="W76" s="1"/>
      <c r="X76" s="1"/>
      <c r="Y76" s="1"/>
    </row>
    <row r="77" spans="1:25" ht="15.75" customHeight="1">
      <c r="A77" s="1"/>
      <c r="B77" s="1"/>
      <c r="C77" s="1"/>
      <c r="D77" s="1"/>
      <c r="E77" s="1"/>
      <c r="F77" s="1"/>
      <c r="G77" s="1"/>
      <c r="H77" s="1"/>
      <c r="I77" s="2"/>
      <c r="J77" s="2"/>
      <c r="K77" s="3"/>
      <c r="L77" s="2"/>
      <c r="M77" s="1"/>
      <c r="N77" s="1"/>
      <c r="O77" s="1"/>
      <c r="P77" s="1"/>
      <c r="Q77" s="1"/>
      <c r="R77" s="1"/>
      <c r="S77" s="1"/>
      <c r="T77" s="1"/>
      <c r="U77" s="1"/>
      <c r="V77" s="1"/>
      <c r="W77" s="1"/>
      <c r="X77" s="1"/>
      <c r="Y77" s="1"/>
    </row>
    <row r="78" spans="1:25" ht="15.75" customHeight="1">
      <c r="A78" s="1"/>
      <c r="B78" s="1"/>
      <c r="C78" s="1"/>
      <c r="D78" s="1"/>
      <c r="E78" s="1"/>
      <c r="F78" s="1"/>
      <c r="G78" s="1"/>
      <c r="H78" s="1"/>
      <c r="I78" s="2"/>
      <c r="J78" s="2"/>
      <c r="K78" s="3"/>
      <c r="L78" s="2"/>
      <c r="M78" s="1"/>
      <c r="N78" s="1"/>
      <c r="O78" s="1"/>
      <c r="P78" s="1"/>
      <c r="Q78" s="1"/>
      <c r="R78" s="1"/>
      <c r="S78" s="1"/>
      <c r="T78" s="1"/>
      <c r="U78" s="1"/>
      <c r="V78" s="1"/>
      <c r="W78" s="1"/>
      <c r="X78" s="1"/>
      <c r="Y78" s="1"/>
    </row>
    <row r="79" spans="1:25" ht="15.75" customHeight="1">
      <c r="A79" s="1"/>
      <c r="B79" s="1"/>
      <c r="C79" s="1"/>
      <c r="D79" s="1"/>
      <c r="E79" s="1"/>
      <c r="F79" s="1"/>
      <c r="G79" s="1"/>
      <c r="H79" s="1"/>
      <c r="I79" s="2"/>
      <c r="J79" s="2"/>
      <c r="K79" s="3"/>
      <c r="L79" s="2"/>
      <c r="M79" s="1"/>
      <c r="N79" s="1"/>
      <c r="O79" s="1"/>
      <c r="P79" s="1"/>
      <c r="Q79" s="1"/>
      <c r="R79" s="1"/>
      <c r="S79" s="1"/>
      <c r="T79" s="1"/>
      <c r="U79" s="1"/>
      <c r="V79" s="1"/>
      <c r="W79" s="1"/>
      <c r="X79" s="1"/>
      <c r="Y79" s="1"/>
    </row>
    <row r="80" spans="1:25" ht="15.75" customHeight="1">
      <c r="A80" s="1"/>
      <c r="B80" s="1"/>
      <c r="C80" s="1"/>
      <c r="D80" s="1"/>
      <c r="E80" s="1"/>
      <c r="F80" s="1"/>
      <c r="G80" s="1"/>
      <c r="H80" s="1"/>
      <c r="I80" s="2"/>
      <c r="J80" s="2"/>
      <c r="K80" s="3"/>
      <c r="L80" s="2"/>
      <c r="M80" s="1"/>
      <c r="N80" s="1"/>
      <c r="O80" s="1"/>
      <c r="P80" s="1"/>
      <c r="Q80" s="1"/>
      <c r="R80" s="1"/>
      <c r="S80" s="1"/>
      <c r="T80" s="1"/>
      <c r="U80" s="1"/>
      <c r="V80" s="1"/>
      <c r="W80" s="1"/>
      <c r="X80" s="1"/>
      <c r="Y80" s="1"/>
    </row>
    <row r="81" spans="1:25" ht="15.75" customHeight="1">
      <c r="A81" s="1"/>
      <c r="B81" s="1"/>
      <c r="C81" s="1"/>
      <c r="D81" s="1"/>
      <c r="E81" s="1"/>
      <c r="F81" s="1"/>
      <c r="G81" s="1"/>
      <c r="H81" s="1"/>
      <c r="I81" s="2"/>
      <c r="J81" s="2"/>
      <c r="K81" s="3"/>
      <c r="L81" s="2"/>
      <c r="M81" s="1"/>
      <c r="N81" s="1"/>
      <c r="O81" s="1"/>
      <c r="P81" s="1"/>
      <c r="Q81" s="1"/>
      <c r="R81" s="1"/>
      <c r="S81" s="1"/>
      <c r="T81" s="1"/>
      <c r="U81" s="1"/>
      <c r="V81" s="1"/>
      <c r="W81" s="1"/>
      <c r="X81" s="1"/>
      <c r="Y81" s="1"/>
    </row>
    <row r="82" spans="1:25" ht="15.75" customHeight="1">
      <c r="A82" s="1"/>
      <c r="B82" s="1"/>
      <c r="C82" s="1"/>
      <c r="D82" s="1"/>
      <c r="E82" s="1"/>
      <c r="F82" s="1"/>
      <c r="G82" s="1"/>
      <c r="H82" s="1"/>
      <c r="I82" s="2"/>
      <c r="J82" s="2"/>
      <c r="K82" s="3"/>
      <c r="L82" s="2"/>
      <c r="M82" s="1"/>
      <c r="N82" s="1"/>
      <c r="O82" s="1"/>
      <c r="P82" s="1"/>
      <c r="Q82" s="1"/>
      <c r="R82" s="1"/>
      <c r="S82" s="1"/>
      <c r="T82" s="1"/>
      <c r="U82" s="1"/>
      <c r="V82" s="1"/>
      <c r="W82" s="1"/>
      <c r="X82" s="1"/>
      <c r="Y82" s="1"/>
    </row>
    <row r="83" spans="1:25" ht="15.75" customHeight="1">
      <c r="A83" s="1"/>
      <c r="B83" s="1"/>
      <c r="C83" s="1"/>
      <c r="D83" s="1"/>
      <c r="E83" s="1"/>
      <c r="F83" s="1"/>
      <c r="G83" s="1"/>
      <c r="H83" s="1"/>
      <c r="I83" s="2"/>
      <c r="J83" s="2"/>
      <c r="K83" s="3"/>
      <c r="L83" s="2"/>
      <c r="M83" s="1"/>
      <c r="N83" s="1"/>
      <c r="O83" s="1"/>
      <c r="P83" s="1"/>
      <c r="Q83" s="1"/>
      <c r="R83" s="1"/>
      <c r="S83" s="1"/>
      <c r="T83" s="1"/>
      <c r="U83" s="1"/>
      <c r="V83" s="1"/>
      <c r="W83" s="1"/>
      <c r="X83" s="1"/>
      <c r="Y83" s="1"/>
    </row>
    <row r="84" spans="1:25" ht="15.75" customHeight="1">
      <c r="A84" s="1"/>
      <c r="B84" s="1"/>
      <c r="C84" s="1"/>
      <c r="D84" s="1"/>
      <c r="E84" s="1"/>
      <c r="F84" s="1"/>
      <c r="G84" s="1"/>
      <c r="H84" s="1"/>
      <c r="I84" s="2"/>
      <c r="J84" s="2"/>
      <c r="K84" s="3"/>
      <c r="L84" s="2"/>
      <c r="M84" s="1"/>
      <c r="N84" s="1"/>
      <c r="O84" s="1"/>
      <c r="P84" s="1"/>
      <c r="Q84" s="1"/>
      <c r="R84" s="1"/>
      <c r="S84" s="1"/>
      <c r="T84" s="1"/>
      <c r="U84" s="1"/>
      <c r="V84" s="1"/>
      <c r="W84" s="1"/>
      <c r="X84" s="1"/>
      <c r="Y84" s="1"/>
    </row>
    <row r="85" spans="1:25" ht="15.75" customHeight="1">
      <c r="A85" s="1"/>
      <c r="B85" s="1"/>
      <c r="C85" s="1"/>
      <c r="D85" s="1"/>
      <c r="E85" s="1"/>
      <c r="F85" s="1"/>
      <c r="G85" s="1"/>
      <c r="H85" s="1"/>
      <c r="I85" s="2"/>
      <c r="J85" s="2"/>
      <c r="K85" s="3"/>
      <c r="L85" s="2"/>
      <c r="M85" s="1"/>
      <c r="N85" s="1"/>
      <c r="O85" s="1"/>
      <c r="P85" s="1"/>
      <c r="Q85" s="1"/>
      <c r="R85" s="1"/>
      <c r="S85" s="1"/>
      <c r="T85" s="1"/>
      <c r="U85" s="1"/>
      <c r="V85" s="1"/>
      <c r="W85" s="1"/>
      <c r="X85" s="1"/>
      <c r="Y85" s="1"/>
    </row>
    <row r="86" spans="1:25" ht="15.75" customHeight="1">
      <c r="A86" s="1"/>
      <c r="B86" s="1"/>
      <c r="C86" s="1"/>
      <c r="D86" s="1"/>
      <c r="E86" s="1"/>
      <c r="F86" s="1"/>
      <c r="G86" s="1"/>
      <c r="H86" s="1"/>
      <c r="I86" s="2"/>
      <c r="J86" s="2"/>
      <c r="K86" s="3"/>
      <c r="L86" s="2"/>
      <c r="M86" s="1"/>
      <c r="N86" s="1"/>
      <c r="O86" s="1"/>
      <c r="P86" s="1"/>
      <c r="Q86" s="1"/>
      <c r="R86" s="1"/>
      <c r="S86" s="1"/>
      <c r="T86" s="1"/>
      <c r="U86" s="1"/>
      <c r="V86" s="1"/>
      <c r="W86" s="1"/>
      <c r="X86" s="1"/>
      <c r="Y86" s="1"/>
    </row>
    <row r="87" spans="1:25" ht="15.75" customHeight="1">
      <c r="A87" s="1"/>
      <c r="B87" s="1"/>
      <c r="C87" s="1"/>
      <c r="D87" s="1"/>
      <c r="E87" s="1"/>
      <c r="F87" s="1"/>
      <c r="G87" s="1"/>
      <c r="H87" s="1"/>
      <c r="I87" s="2"/>
      <c r="J87" s="2"/>
      <c r="K87" s="3"/>
      <c r="L87" s="2"/>
      <c r="M87" s="1"/>
      <c r="N87" s="1"/>
      <c r="O87" s="1"/>
      <c r="P87" s="1"/>
      <c r="Q87" s="1"/>
      <c r="R87" s="1"/>
      <c r="S87" s="1"/>
      <c r="T87" s="1"/>
      <c r="U87" s="1"/>
      <c r="V87" s="1"/>
      <c r="W87" s="1"/>
      <c r="X87" s="1"/>
      <c r="Y87" s="1"/>
    </row>
    <row r="88" spans="1:25" ht="15.75" customHeight="1">
      <c r="A88" s="1"/>
      <c r="B88" s="1"/>
      <c r="C88" s="1"/>
      <c r="D88" s="1"/>
      <c r="E88" s="1"/>
      <c r="F88" s="1"/>
      <c r="G88" s="1"/>
      <c r="H88" s="1"/>
      <c r="I88" s="2"/>
      <c r="J88" s="2"/>
      <c r="K88" s="3"/>
      <c r="L88" s="2"/>
      <c r="M88" s="1"/>
      <c r="N88" s="1"/>
      <c r="O88" s="1"/>
      <c r="P88" s="1"/>
      <c r="Q88" s="1"/>
      <c r="R88" s="1"/>
      <c r="S88" s="1"/>
      <c r="T88" s="1"/>
      <c r="U88" s="1"/>
      <c r="V88" s="1"/>
      <c r="W88" s="1"/>
      <c r="X88" s="1"/>
      <c r="Y88" s="1"/>
    </row>
    <row r="89" spans="1:25" ht="15.75" customHeight="1">
      <c r="A89" s="1"/>
      <c r="B89" s="1"/>
      <c r="C89" s="1"/>
      <c r="D89" s="1"/>
      <c r="E89" s="1"/>
      <c r="F89" s="1"/>
      <c r="G89" s="1"/>
      <c r="H89" s="1"/>
      <c r="I89" s="2"/>
      <c r="J89" s="2"/>
      <c r="K89" s="3"/>
      <c r="L89" s="2"/>
      <c r="M89" s="1"/>
      <c r="N89" s="1"/>
      <c r="O89" s="1"/>
      <c r="P89" s="1"/>
      <c r="Q89" s="1"/>
      <c r="R89" s="1"/>
      <c r="S89" s="1"/>
      <c r="T89" s="1"/>
      <c r="U89" s="1"/>
      <c r="V89" s="1"/>
      <c r="W89" s="1"/>
      <c r="X89" s="1"/>
      <c r="Y89" s="1"/>
    </row>
    <row r="90" spans="1:25" ht="15.75" customHeight="1">
      <c r="A90" s="1"/>
      <c r="B90" s="1"/>
      <c r="C90" s="1"/>
      <c r="D90" s="1"/>
      <c r="E90" s="1"/>
      <c r="F90" s="1"/>
      <c r="G90" s="1"/>
      <c r="H90" s="1"/>
      <c r="I90" s="2"/>
      <c r="J90" s="2"/>
      <c r="K90" s="3"/>
      <c r="L90" s="2"/>
      <c r="M90" s="1"/>
      <c r="N90" s="1"/>
      <c r="O90" s="1"/>
      <c r="P90" s="1"/>
      <c r="Q90" s="1"/>
      <c r="R90" s="1"/>
      <c r="S90" s="1"/>
      <c r="T90" s="1"/>
      <c r="U90" s="1"/>
      <c r="V90" s="1"/>
      <c r="W90" s="1"/>
      <c r="X90" s="1"/>
      <c r="Y90" s="1"/>
    </row>
    <row r="91" spans="1:25" ht="15.75" customHeight="1">
      <c r="A91" s="1"/>
      <c r="B91" s="1"/>
      <c r="C91" s="1"/>
      <c r="D91" s="1"/>
      <c r="E91" s="1"/>
      <c r="F91" s="1"/>
      <c r="G91" s="1"/>
      <c r="H91" s="1"/>
      <c r="I91" s="2"/>
      <c r="J91" s="2"/>
      <c r="K91" s="3"/>
      <c r="L91" s="2"/>
      <c r="M91" s="1"/>
      <c r="N91" s="1"/>
      <c r="O91" s="1"/>
      <c r="P91" s="1"/>
      <c r="Q91" s="1"/>
      <c r="R91" s="1"/>
      <c r="S91" s="1"/>
      <c r="T91" s="1"/>
      <c r="U91" s="1"/>
      <c r="V91" s="1"/>
      <c r="W91" s="1"/>
      <c r="X91" s="1"/>
      <c r="Y91" s="1"/>
    </row>
    <row r="92" spans="1:25" ht="15.75" customHeight="1">
      <c r="A92" s="1"/>
      <c r="B92" s="1"/>
      <c r="C92" s="1"/>
      <c r="D92" s="1"/>
      <c r="E92" s="1"/>
      <c r="F92" s="1"/>
      <c r="G92" s="1"/>
      <c r="H92" s="1"/>
      <c r="I92" s="2"/>
      <c r="J92" s="2"/>
      <c r="K92" s="3"/>
      <c r="L92" s="2"/>
      <c r="M92" s="1"/>
      <c r="N92" s="1"/>
      <c r="O92" s="1"/>
      <c r="P92" s="1"/>
      <c r="Q92" s="1"/>
      <c r="R92" s="1"/>
      <c r="S92" s="1"/>
      <c r="T92" s="1"/>
      <c r="U92" s="1"/>
      <c r="V92" s="1"/>
      <c r="W92" s="1"/>
      <c r="X92" s="1"/>
      <c r="Y92" s="1"/>
    </row>
    <row r="93" spans="1:25" ht="15.75" customHeight="1">
      <c r="A93" s="1"/>
      <c r="B93" s="1"/>
      <c r="C93" s="1"/>
      <c r="D93" s="1"/>
      <c r="E93" s="1"/>
      <c r="F93" s="1"/>
      <c r="G93" s="1"/>
      <c r="H93" s="1"/>
      <c r="I93" s="2"/>
      <c r="J93" s="2"/>
      <c r="K93" s="3"/>
      <c r="L93" s="2"/>
      <c r="M93" s="1"/>
      <c r="N93" s="1"/>
      <c r="O93" s="1"/>
      <c r="P93" s="1"/>
      <c r="Q93" s="1"/>
      <c r="R93" s="1"/>
      <c r="S93" s="1"/>
      <c r="T93" s="1"/>
      <c r="U93" s="1"/>
      <c r="V93" s="1"/>
      <c r="W93" s="1"/>
      <c r="X93" s="1"/>
      <c r="Y93" s="1"/>
    </row>
    <row r="94" spans="1:25" ht="15.75" customHeight="1">
      <c r="A94" s="1"/>
      <c r="B94" s="1"/>
      <c r="C94" s="1"/>
      <c r="D94" s="1"/>
      <c r="E94" s="1"/>
      <c r="F94" s="1"/>
      <c r="G94" s="1"/>
      <c r="H94" s="1"/>
      <c r="I94" s="2"/>
      <c r="J94" s="2"/>
      <c r="K94" s="3"/>
      <c r="L94" s="2"/>
      <c r="M94" s="1"/>
      <c r="N94" s="1"/>
      <c r="O94" s="1"/>
      <c r="P94" s="1"/>
      <c r="Q94" s="1"/>
      <c r="R94" s="1"/>
      <c r="S94" s="1"/>
      <c r="T94" s="1"/>
      <c r="U94" s="1"/>
      <c r="V94" s="1"/>
      <c r="W94" s="1"/>
      <c r="X94" s="1"/>
      <c r="Y94" s="1"/>
    </row>
    <row r="95" spans="1:25" ht="15.75" customHeight="1">
      <c r="A95" s="1"/>
      <c r="B95" s="1"/>
      <c r="C95" s="1"/>
      <c r="D95" s="1"/>
      <c r="E95" s="1"/>
      <c r="F95" s="1"/>
      <c r="G95" s="1"/>
      <c r="H95" s="1"/>
      <c r="I95" s="2"/>
      <c r="J95" s="2"/>
      <c r="K95" s="3"/>
      <c r="L95" s="2"/>
      <c r="M95" s="1"/>
      <c r="N95" s="1"/>
      <c r="O95" s="1"/>
      <c r="P95" s="1"/>
      <c r="Q95" s="1"/>
      <c r="R95" s="1"/>
      <c r="S95" s="1"/>
      <c r="T95" s="1"/>
      <c r="U95" s="1"/>
      <c r="V95" s="1"/>
      <c r="W95" s="1"/>
      <c r="X95" s="1"/>
      <c r="Y95" s="1"/>
    </row>
    <row r="96" spans="1:25" ht="15.75" customHeight="1">
      <c r="A96" s="1"/>
      <c r="B96" s="1"/>
      <c r="C96" s="1"/>
      <c r="D96" s="1"/>
      <c r="E96" s="1"/>
      <c r="F96" s="1"/>
      <c r="G96" s="1"/>
      <c r="H96" s="1"/>
      <c r="I96" s="2"/>
      <c r="J96" s="2"/>
      <c r="K96" s="3"/>
      <c r="L96" s="2"/>
      <c r="M96" s="1"/>
      <c r="N96" s="1"/>
      <c r="O96" s="1"/>
      <c r="P96" s="1"/>
      <c r="Q96" s="1"/>
      <c r="R96" s="1"/>
      <c r="S96" s="1"/>
      <c r="T96" s="1"/>
      <c r="U96" s="1"/>
      <c r="V96" s="1"/>
      <c r="W96" s="1"/>
      <c r="X96" s="1"/>
      <c r="Y96" s="1"/>
    </row>
    <row r="97" spans="1:25" ht="15.75" customHeight="1">
      <c r="A97" s="1"/>
      <c r="B97" s="1"/>
      <c r="C97" s="1"/>
      <c r="D97" s="1"/>
      <c r="E97" s="1"/>
      <c r="F97" s="1"/>
      <c r="G97" s="1"/>
      <c r="H97" s="1"/>
      <c r="I97" s="2"/>
      <c r="J97" s="2"/>
      <c r="K97" s="3"/>
      <c r="L97" s="2"/>
      <c r="M97" s="1"/>
      <c r="N97" s="1"/>
      <c r="O97" s="1"/>
      <c r="P97" s="1"/>
      <c r="Q97" s="1"/>
      <c r="R97" s="1"/>
      <c r="S97" s="1"/>
      <c r="T97" s="1"/>
      <c r="U97" s="1"/>
      <c r="V97" s="1"/>
      <c r="W97" s="1"/>
      <c r="X97" s="1"/>
      <c r="Y97" s="1"/>
    </row>
    <row r="98" spans="1:25" ht="15.75" customHeight="1">
      <c r="A98" s="1"/>
      <c r="B98" s="1"/>
      <c r="C98" s="1"/>
      <c r="D98" s="1"/>
      <c r="E98" s="1"/>
      <c r="F98" s="1"/>
      <c r="G98" s="1"/>
      <c r="H98" s="1"/>
      <c r="I98" s="2"/>
      <c r="J98" s="2"/>
      <c r="K98" s="3"/>
      <c r="L98" s="2"/>
      <c r="M98" s="1"/>
      <c r="N98" s="1"/>
      <c r="O98" s="1"/>
      <c r="P98" s="1"/>
      <c r="Q98" s="1"/>
      <c r="R98" s="1"/>
      <c r="S98" s="1"/>
      <c r="T98" s="1"/>
      <c r="U98" s="1"/>
      <c r="V98" s="1"/>
      <c r="W98" s="1"/>
      <c r="X98" s="1"/>
      <c r="Y98" s="1"/>
    </row>
    <row r="99" spans="1:25" ht="15.75" customHeight="1">
      <c r="A99" s="1"/>
      <c r="B99" s="1"/>
      <c r="C99" s="1"/>
      <c r="D99" s="1"/>
      <c r="E99" s="1"/>
      <c r="F99" s="1"/>
      <c r="G99" s="1"/>
      <c r="H99" s="1"/>
      <c r="I99" s="2"/>
      <c r="J99" s="2"/>
      <c r="K99" s="3"/>
      <c r="L99" s="2"/>
      <c r="M99" s="1"/>
      <c r="N99" s="1"/>
      <c r="O99" s="1"/>
      <c r="P99" s="1"/>
      <c r="Q99" s="1"/>
      <c r="R99" s="1"/>
      <c r="S99" s="1"/>
      <c r="T99" s="1"/>
      <c r="U99" s="1"/>
      <c r="V99" s="1"/>
      <c r="W99" s="1"/>
      <c r="X99" s="1"/>
      <c r="Y99" s="1"/>
    </row>
    <row r="100" spans="1:25"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row>
    <row r="101" spans="1:25"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row>
    <row r="102" spans="1:25"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row>
    <row r="103" spans="1:25"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row>
    <row r="104" spans="1:25"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row>
    <row r="105" spans="1:2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row>
    <row r="106" spans="1:25"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row>
    <row r="107" spans="1:25"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row>
    <row r="108" spans="1:25"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row>
    <row r="109" spans="1:25"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row>
    <row r="110" spans="1:25"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row>
    <row r="111" spans="1:25"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row>
    <row r="112" spans="1:25"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row>
    <row r="113" spans="1:25"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row>
    <row r="114" spans="1:25"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row>
    <row r="115" spans="1:2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row>
    <row r="116" spans="1:25"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row>
    <row r="117" spans="1:25"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row>
    <row r="118" spans="1:25"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row>
    <row r="119" spans="1:25"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row>
    <row r="120" spans="1:25"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row>
    <row r="121" spans="1:25"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row>
    <row r="122" spans="1:25"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row>
    <row r="123" spans="1:25"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row>
    <row r="124" spans="1:25"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row>
    <row r="125" spans="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row>
    <row r="126" spans="1:25"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row>
    <row r="127" spans="1:25"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row>
    <row r="128" spans="1:25"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row>
    <row r="129" spans="1:25"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row>
    <row r="130" spans="1:25"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row>
    <row r="131" spans="1:25"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row>
    <row r="132" spans="1:25"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row>
    <row r="133" spans="1:25"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row>
    <row r="134" spans="1:25"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row>
    <row r="135" spans="1:2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row>
    <row r="136" spans="1:25"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row>
    <row r="137" spans="1:25"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row>
    <row r="138" spans="1:25"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row>
    <row r="139" spans="1:25"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row>
    <row r="140" spans="1:25"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row>
    <row r="141" spans="1:25"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row>
    <row r="142" spans="1:25"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row>
    <row r="143" spans="1:25"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row>
    <row r="144" spans="1:25"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row>
    <row r="145" spans="1:2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row>
    <row r="146" spans="1:25"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row>
    <row r="147" spans="1:25"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row>
    <row r="148" spans="1:25"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row>
    <row r="149" spans="1:25"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row>
    <row r="150" spans="1:25"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row>
    <row r="151" spans="1:25"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row>
    <row r="152" spans="1:25"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row>
    <row r="153" spans="1:25"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row>
    <row r="154" spans="1:25"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row>
    <row r="155" spans="1:2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row>
    <row r="156" spans="1:25"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row>
    <row r="157" spans="1:25"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row>
    <row r="158" spans="1:25"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row>
    <row r="159" spans="1:25"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row>
    <row r="160" spans="1:25"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row>
    <row r="161" spans="1:25"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row>
    <row r="162" spans="1:25"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row>
    <row r="163" spans="1:25"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row>
    <row r="164" spans="1:25"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row>
    <row r="165" spans="1:2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row>
    <row r="166" spans="1:25"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row>
    <row r="167" spans="1:25"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row>
    <row r="168" spans="1:25"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row>
    <row r="169" spans="1:25"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row>
    <row r="170" spans="1:25"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row>
    <row r="171" spans="1:25"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row>
    <row r="172" spans="1:25"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row>
    <row r="173" spans="1:25"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row>
    <row r="174" spans="1:25"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row>
    <row r="175" spans="1:2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row>
    <row r="176" spans="1:25"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row>
    <row r="177" spans="1:25"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row>
    <row r="178" spans="1:25"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row>
    <row r="179" spans="1:25"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row>
    <row r="180" spans="1:25"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row>
    <row r="181" spans="1:25"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row>
    <row r="182" spans="1:25"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row>
    <row r="183" spans="1:25"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row>
    <row r="184" spans="1:25"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row>
    <row r="185" spans="1:2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row>
    <row r="186" spans="1:25"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row>
    <row r="187" spans="1:25"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row>
    <row r="188" spans="1:25"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row>
    <row r="189" spans="1:25"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row>
    <row r="190" spans="1:25"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row>
    <row r="191" spans="1:25"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row>
    <row r="192" spans="1:25"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row>
    <row r="193" spans="1:25"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row>
    <row r="194" spans="1:25"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row>
    <row r="195" spans="1:2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row>
    <row r="196" spans="1:25"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row>
    <row r="197" spans="1:25"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row>
    <row r="198" spans="1:25"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row>
    <row r="199" spans="1:25"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row>
    <row r="200" spans="1:25"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row>
    <row r="201" spans="1:25"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row>
    <row r="202" spans="1:25"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row>
    <row r="203" spans="1:25"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row>
    <row r="204" spans="1:25"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row>
    <row r="205" spans="1:2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row>
    <row r="206" spans="1:25" ht="15.75" customHeight="1"/>
    <row r="207" spans="1:25" ht="15.75" customHeight="1"/>
    <row r="208" spans="1:25"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
    <mergeCell ref="B3:O3"/>
  </mergeCells>
  <conditionalFormatting sqref="L6:L28">
    <cfRule type="colorScale" priority="1">
      <colorScale>
        <cfvo type="min"/>
        <cfvo type="max"/>
        <color rgb="FF57BB8A"/>
        <color rgb="FFFFFFFF"/>
      </colorScale>
    </cfRule>
  </conditionalFormatting>
  <conditionalFormatting sqref="L12:L19 L25:L28">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count="1">
    <dataValidation type="list" allowBlank="1" showErrorMessage="1" sqref="K6:K28" xr:uid="{00000000-0002-0000-0000-000000000000}">
      <formula1>"Alta,Media ,Baja"</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abSelected="1" workbookViewId="0">
      <selection activeCell="C10" sqref="C10"/>
    </sheetView>
  </sheetViews>
  <sheetFormatPr baseColWidth="10" defaultColWidth="12.59765625" defaultRowHeight="15" customHeight="1"/>
  <cols>
    <col min="1" max="1" width="9.3984375" customWidth="1"/>
    <col min="2" max="2" width="2.59765625" customWidth="1"/>
    <col min="3" max="15" width="10.59765625" customWidth="1"/>
    <col min="16" max="16" width="2.59765625" customWidth="1"/>
    <col min="17" max="26" width="9.3984375" customWidth="1"/>
  </cols>
  <sheetData>
    <row r="2" spans="1:26" ht="15" hidden="1" customHeight="1"/>
    <row r="3" spans="1:26" ht="15" hidden="1" customHeight="1"/>
    <row r="4" spans="1:26" ht="14.4" hidden="1">
      <c r="C4" s="17"/>
      <c r="D4" s="17"/>
      <c r="E4" s="17"/>
      <c r="F4" s="18"/>
    </row>
    <row r="5" spans="1:26" ht="14.4" hidden="1">
      <c r="C5" s="17"/>
      <c r="D5" s="17"/>
      <c r="E5" s="17"/>
      <c r="F5" s="18"/>
    </row>
    <row r="6" spans="1:26" ht="39.75" customHeight="1">
      <c r="B6" s="68" t="s">
        <v>196</v>
      </c>
      <c r="C6" s="43"/>
      <c r="D6" s="43"/>
      <c r="E6" s="43"/>
      <c r="F6" s="43"/>
      <c r="G6" s="43"/>
      <c r="H6" s="43"/>
      <c r="I6" s="43"/>
      <c r="J6" s="43"/>
      <c r="K6" s="43"/>
      <c r="L6" s="43"/>
      <c r="M6" s="43"/>
      <c r="N6" s="43"/>
      <c r="O6" s="43"/>
      <c r="P6" s="44"/>
    </row>
    <row r="7" spans="1:26" ht="9.75" customHeight="1">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c r="B8" s="21"/>
      <c r="C8" s="22"/>
      <c r="D8" s="22"/>
      <c r="E8" s="22"/>
      <c r="F8" s="23"/>
      <c r="G8" s="24"/>
      <c r="H8" s="24"/>
      <c r="I8" s="24"/>
      <c r="J8" s="24"/>
      <c r="K8" s="24"/>
      <c r="L8" s="24"/>
      <c r="M8" s="24"/>
      <c r="N8" s="24"/>
      <c r="O8" s="24"/>
      <c r="P8" s="25"/>
      <c r="Q8" s="19"/>
    </row>
    <row r="9" spans="1:26" ht="30" customHeight="1">
      <c r="B9" s="26"/>
      <c r="C9" s="27" t="s">
        <v>1</v>
      </c>
      <c r="D9" s="28"/>
      <c r="E9" s="63" t="s">
        <v>197</v>
      </c>
      <c r="F9" s="44"/>
      <c r="G9" s="28"/>
      <c r="H9" s="63" t="s">
        <v>11</v>
      </c>
      <c r="I9" s="44"/>
      <c r="J9" s="29"/>
      <c r="K9" s="29"/>
      <c r="L9" s="29"/>
      <c r="M9" s="29"/>
      <c r="N9" s="29"/>
      <c r="O9" s="29"/>
      <c r="P9" s="30"/>
      <c r="Q9" s="19"/>
    </row>
    <row r="10" spans="1:26" ht="30" customHeight="1">
      <c r="B10" s="26"/>
      <c r="C10" s="31" t="s">
        <v>169</v>
      </c>
      <c r="D10" s="32"/>
      <c r="E10" s="64" t="str">
        <f>VLOOKUP(C10,'Formato descripción HU'!B6:O28,5,0)</f>
        <v>Cliente (receptor), Asistente (gestor)</v>
      </c>
      <c r="F10" s="44"/>
      <c r="G10" s="33"/>
      <c r="H10" s="64" t="str">
        <f>VLOOKUP(C10,'Formato descripción HU'!B6:O28,11,0)</f>
        <v>No iniciado</v>
      </c>
      <c r="I10" s="44"/>
      <c r="J10" s="33"/>
      <c r="K10" s="29"/>
      <c r="L10" s="29"/>
      <c r="M10" s="29"/>
      <c r="N10" s="29"/>
      <c r="O10" s="29"/>
      <c r="P10" s="30"/>
      <c r="Q10" s="19"/>
    </row>
    <row r="11" spans="1:26" ht="9.75" customHeight="1">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c r="A12" s="19"/>
      <c r="B12" s="26"/>
      <c r="C12" s="27" t="s">
        <v>198</v>
      </c>
      <c r="D12" s="32"/>
      <c r="E12" s="63" t="s">
        <v>10</v>
      </c>
      <c r="F12" s="44"/>
      <c r="G12" s="33"/>
      <c r="H12" s="63" t="s">
        <v>199</v>
      </c>
      <c r="I12" s="44"/>
      <c r="J12" s="33"/>
      <c r="K12" s="35"/>
      <c r="L12" s="35"/>
      <c r="M12" s="29"/>
      <c r="N12" s="35"/>
      <c r="O12" s="35"/>
      <c r="P12" s="30"/>
      <c r="Q12" s="19"/>
      <c r="R12" s="19"/>
      <c r="S12" s="19"/>
      <c r="T12" s="19"/>
      <c r="U12" s="19"/>
      <c r="V12" s="19"/>
      <c r="W12" s="19"/>
      <c r="X12" s="19"/>
      <c r="Y12" s="19"/>
      <c r="Z12" s="19"/>
    </row>
    <row r="13" spans="1:26" ht="30" customHeight="1">
      <c r="A13" s="19"/>
      <c r="B13" s="26"/>
      <c r="C13" s="36">
        <f>VLOOKUP('Historia de Usuario'!C10,'Formato descripción HU'!B6:O28,8,0)</f>
        <v>25</v>
      </c>
      <c r="D13" s="32"/>
      <c r="E13" s="64" t="str">
        <f>VLOOKUP(C10,'Formato descripción HU'!B6:O28,10,0)</f>
        <v>Media</v>
      </c>
      <c r="F13" s="44"/>
      <c r="G13" s="33"/>
      <c r="H13" s="64" t="str">
        <f>VLOOKUP(C10,'Formato descripción HU'!B6:O28,7,0)</f>
        <v>Fernando Sandoval</v>
      </c>
      <c r="I13" s="44"/>
      <c r="J13" s="33"/>
      <c r="K13" s="35"/>
      <c r="L13" s="35"/>
      <c r="M13" s="29"/>
      <c r="N13" s="35"/>
      <c r="O13" s="35"/>
      <c r="P13" s="30"/>
      <c r="Q13" s="19"/>
      <c r="R13" s="19"/>
      <c r="S13" s="19"/>
      <c r="T13" s="19"/>
      <c r="U13" s="19"/>
      <c r="V13" s="19"/>
      <c r="W13" s="19"/>
      <c r="X13" s="19"/>
      <c r="Y13" s="19"/>
      <c r="Z13" s="19"/>
    </row>
    <row r="14" spans="1:26" ht="9.75" customHeight="1">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c r="A15" s="19"/>
      <c r="B15" s="26"/>
      <c r="C15" s="45" t="s">
        <v>200</v>
      </c>
      <c r="D15" s="70" t="str">
        <f>VLOOKUP(C10,'Formato descripción HU'!B6:O28,3,0)</f>
        <v>Generar alerta cuando se aproxima fecha de vencimiento crítica</v>
      </c>
      <c r="E15" s="50"/>
      <c r="F15" s="37"/>
      <c r="G15" s="45" t="s">
        <v>201</v>
      </c>
      <c r="H15" s="70" t="str">
        <f>VLOOKUP(C10,'Formato descripción HU'!B6:O28,4,0)</f>
        <v>Para prevenir incumplimientos y mantener informado al cliente</v>
      </c>
      <c r="I15" s="49"/>
      <c r="J15" s="50"/>
      <c r="K15" s="37"/>
      <c r="L15" s="45" t="s">
        <v>202</v>
      </c>
      <c r="M15" s="48" t="str">
        <f>VLOOKUP(C10,'Formato descripción HU'!B6:O28,6,0)</f>
        <v>Verificación automática diaria de fechas y envío de notificación</v>
      </c>
      <c r="N15" s="49"/>
      <c r="O15" s="50"/>
      <c r="P15" s="30"/>
      <c r="Q15" s="19"/>
      <c r="R15" s="19"/>
      <c r="S15" s="19"/>
      <c r="T15" s="19"/>
      <c r="U15" s="19"/>
      <c r="V15" s="19"/>
      <c r="W15" s="19"/>
      <c r="X15" s="19"/>
      <c r="Y15" s="19"/>
      <c r="Z15" s="19"/>
    </row>
    <row r="16" spans="1:26" ht="19.5" customHeight="1">
      <c r="A16" s="19"/>
      <c r="B16" s="26"/>
      <c r="C16" s="46"/>
      <c r="D16" s="51"/>
      <c r="E16" s="53"/>
      <c r="F16" s="37"/>
      <c r="G16" s="46"/>
      <c r="H16" s="51"/>
      <c r="I16" s="52"/>
      <c r="J16" s="53"/>
      <c r="K16" s="37"/>
      <c r="L16" s="46"/>
      <c r="M16" s="51"/>
      <c r="N16" s="52"/>
      <c r="O16" s="53"/>
      <c r="P16" s="30"/>
      <c r="Q16" s="19"/>
      <c r="R16" s="19"/>
      <c r="S16" s="19"/>
      <c r="T16" s="19"/>
      <c r="U16" s="19"/>
      <c r="V16" s="19"/>
      <c r="W16" s="19"/>
      <c r="X16" s="19"/>
      <c r="Y16" s="19"/>
      <c r="Z16" s="19"/>
    </row>
    <row r="17" spans="1:26" ht="19.5" customHeight="1">
      <c r="A17" s="19"/>
      <c r="B17" s="26"/>
      <c r="C17" s="47"/>
      <c r="D17" s="54"/>
      <c r="E17" s="56"/>
      <c r="F17" s="37"/>
      <c r="G17" s="47"/>
      <c r="H17" s="54"/>
      <c r="I17" s="55"/>
      <c r="J17" s="56"/>
      <c r="K17" s="37"/>
      <c r="L17" s="47"/>
      <c r="M17" s="54"/>
      <c r="N17" s="55"/>
      <c r="O17" s="56"/>
      <c r="P17" s="30"/>
      <c r="Q17" s="19"/>
      <c r="R17" s="19"/>
      <c r="S17" s="19"/>
      <c r="T17" s="19"/>
      <c r="U17" s="19"/>
      <c r="V17" s="19"/>
      <c r="W17" s="19"/>
      <c r="X17" s="19"/>
      <c r="Y17" s="19"/>
      <c r="Z17" s="19"/>
    </row>
    <row r="18" spans="1:26" ht="9.75" customHeight="1">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c r="B19" s="26"/>
      <c r="C19" s="65" t="s">
        <v>203</v>
      </c>
      <c r="D19" s="50"/>
      <c r="E19" s="57" t="str">
        <f>VLOOKUP(C10,'Formato descripción HU'!B6:O28,14,0)</f>
        <v>Alerta de Vencimiento Crítico</v>
      </c>
      <c r="F19" s="58"/>
      <c r="G19" s="58"/>
      <c r="H19" s="58"/>
      <c r="I19" s="58"/>
      <c r="J19" s="58"/>
      <c r="K19" s="58"/>
      <c r="L19" s="58"/>
      <c r="M19" s="58"/>
      <c r="N19" s="58"/>
      <c r="O19" s="59"/>
      <c r="P19" s="30"/>
      <c r="Q19" s="19"/>
    </row>
    <row r="20" spans="1:26" ht="19.5" customHeight="1">
      <c r="B20" s="26"/>
      <c r="C20" s="54"/>
      <c r="D20" s="56"/>
      <c r="E20" s="60"/>
      <c r="F20" s="61"/>
      <c r="G20" s="61"/>
      <c r="H20" s="61"/>
      <c r="I20" s="61"/>
      <c r="J20" s="61"/>
      <c r="K20" s="61"/>
      <c r="L20" s="61"/>
      <c r="M20" s="61"/>
      <c r="N20" s="61"/>
      <c r="O20" s="62"/>
      <c r="P20" s="30"/>
      <c r="Q20" s="19"/>
    </row>
    <row r="21" spans="1:26" ht="9.75" customHeight="1">
      <c r="B21" s="26"/>
      <c r="C21" s="29"/>
      <c r="D21" s="29"/>
      <c r="E21" s="29"/>
      <c r="F21" s="29"/>
      <c r="G21" s="29"/>
      <c r="H21" s="29"/>
      <c r="I21" s="29"/>
      <c r="J21" s="29"/>
      <c r="K21" s="29"/>
      <c r="L21" s="29"/>
      <c r="M21" s="29"/>
      <c r="N21" s="29"/>
      <c r="O21" s="29"/>
      <c r="P21" s="30"/>
      <c r="Q21" s="19"/>
    </row>
    <row r="22" spans="1:26" ht="19.5" customHeight="1">
      <c r="A22" s="19"/>
      <c r="B22" s="26"/>
      <c r="C22" s="66" t="s">
        <v>204</v>
      </c>
      <c r="D22" s="50"/>
      <c r="E22" s="67" t="str">
        <f>VLOOKUP(C10,'Formato descripción HU'!B6:O28,12,0)</f>
        <v>Verificar ejecución automática diaria. Validar identificación correcta de pagos en riesgo. Confirmar generación y envío de notificación. Probar registro en log. Validar visualización en panel del cliente.</v>
      </c>
      <c r="F22" s="49"/>
      <c r="G22" s="49"/>
      <c r="H22" s="50"/>
      <c r="I22" s="29"/>
      <c r="J22" s="66" t="s">
        <v>13</v>
      </c>
      <c r="K22" s="50"/>
      <c r="L22" s="69" t="str">
        <f>VLOOKUP(C10,'Formato descripción HU'!B6:O28,13,0)</f>
        <v>Definir criterios de 'riesgo de morosidad'</v>
      </c>
      <c r="M22" s="49"/>
      <c r="N22" s="49"/>
      <c r="O22" s="50"/>
      <c r="P22" s="30"/>
      <c r="Q22" s="19"/>
      <c r="R22" s="19"/>
      <c r="S22" s="19"/>
      <c r="T22" s="19"/>
      <c r="U22" s="19"/>
      <c r="V22" s="19"/>
      <c r="W22" s="19"/>
      <c r="X22" s="19"/>
      <c r="Y22" s="19"/>
      <c r="Z22" s="19"/>
    </row>
    <row r="23" spans="1:26" ht="19.5" customHeight="1">
      <c r="A23" s="19"/>
      <c r="B23" s="26"/>
      <c r="C23" s="51"/>
      <c r="D23" s="53"/>
      <c r="E23" s="51"/>
      <c r="F23" s="52"/>
      <c r="G23" s="52"/>
      <c r="H23" s="53"/>
      <c r="I23" s="29"/>
      <c r="J23" s="51"/>
      <c r="K23" s="53"/>
      <c r="L23" s="51"/>
      <c r="M23" s="52"/>
      <c r="N23" s="52"/>
      <c r="O23" s="53"/>
      <c r="P23" s="30"/>
      <c r="Q23" s="19"/>
      <c r="R23" s="19"/>
      <c r="S23" s="19"/>
      <c r="T23" s="19"/>
      <c r="U23" s="19"/>
      <c r="V23" s="19"/>
      <c r="W23" s="19"/>
      <c r="X23" s="19"/>
      <c r="Y23" s="19"/>
      <c r="Z23" s="19"/>
    </row>
    <row r="24" spans="1:26" ht="19.5" customHeight="1">
      <c r="A24" s="19"/>
      <c r="B24" s="26"/>
      <c r="C24" s="54"/>
      <c r="D24" s="56"/>
      <c r="E24" s="54"/>
      <c r="F24" s="55"/>
      <c r="G24" s="55"/>
      <c r="H24" s="56"/>
      <c r="I24" s="29"/>
      <c r="J24" s="54"/>
      <c r="K24" s="56"/>
      <c r="L24" s="54"/>
      <c r="M24" s="55"/>
      <c r="N24" s="55"/>
      <c r="O24" s="56"/>
      <c r="P24" s="30"/>
      <c r="Q24" s="19"/>
      <c r="R24" s="19"/>
      <c r="S24" s="19"/>
      <c r="T24" s="19"/>
      <c r="U24" s="19"/>
      <c r="V24" s="19"/>
      <c r="W24" s="19"/>
      <c r="X24" s="19"/>
      <c r="Y24" s="19"/>
      <c r="Z24" s="19"/>
    </row>
    <row r="25" spans="1:26" ht="9.75" customHeight="1">
      <c r="A25" s="19"/>
      <c r="B25" s="38"/>
      <c r="C25" s="39"/>
      <c r="D25" s="39"/>
      <c r="E25" s="39"/>
      <c r="F25" s="39"/>
      <c r="G25" s="39"/>
      <c r="H25" s="39"/>
      <c r="I25" s="39"/>
      <c r="J25" s="39"/>
      <c r="K25" s="39"/>
      <c r="L25" s="39"/>
      <c r="M25" s="39"/>
      <c r="N25" s="39"/>
      <c r="O25" s="39"/>
      <c r="P25" s="40"/>
      <c r="Q25" s="19"/>
      <c r="R25" s="19"/>
      <c r="S25" s="19"/>
      <c r="T25" s="19"/>
      <c r="U25" s="19"/>
      <c r="V25" s="19"/>
      <c r="W25" s="19"/>
      <c r="X25" s="19"/>
      <c r="Y25" s="19"/>
      <c r="Z25" s="19"/>
    </row>
    <row r="26" spans="1:26" ht="19.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c r="C34" s="19"/>
      <c r="D34" s="19"/>
      <c r="E34" s="19"/>
      <c r="F34" s="19"/>
      <c r="G34" s="19"/>
      <c r="H34" s="19"/>
      <c r="I34" s="19"/>
      <c r="J34" s="19"/>
      <c r="K34" s="19"/>
      <c r="L34" s="19"/>
      <c r="M34" s="19"/>
      <c r="N34" s="19"/>
      <c r="O34" s="19"/>
      <c r="P34" s="19"/>
    </row>
    <row r="35" spans="1:26" ht="19.5" customHeight="1">
      <c r="C35" s="19"/>
      <c r="D35" s="19"/>
      <c r="E35" s="19"/>
      <c r="F35" s="19"/>
      <c r="G35" s="19"/>
      <c r="H35" s="19"/>
      <c r="I35" s="19"/>
      <c r="J35" s="19"/>
      <c r="K35" s="19"/>
      <c r="L35" s="19"/>
      <c r="M35" s="19"/>
      <c r="N35" s="19"/>
      <c r="O35" s="19"/>
      <c r="P35" s="19"/>
    </row>
    <row r="36" spans="1:26" ht="19.5" customHeight="1">
      <c r="C36" s="19"/>
      <c r="D36" s="19"/>
      <c r="E36" s="19"/>
      <c r="F36" s="19"/>
      <c r="G36" s="19"/>
      <c r="H36" s="19"/>
      <c r="I36" s="19"/>
      <c r="J36" s="19"/>
      <c r="K36" s="19"/>
      <c r="L36" s="19"/>
      <c r="M36" s="19"/>
      <c r="N36" s="19"/>
      <c r="O36" s="19"/>
      <c r="P36" s="19"/>
    </row>
    <row r="37" spans="1:26" ht="19.5" customHeight="1">
      <c r="C37" s="19"/>
      <c r="D37" s="19"/>
      <c r="E37" s="19"/>
      <c r="F37" s="19"/>
      <c r="G37" s="19"/>
      <c r="H37" s="19"/>
      <c r="I37" s="19"/>
      <c r="J37" s="19"/>
      <c r="K37" s="19"/>
      <c r="L37" s="19"/>
      <c r="M37" s="19"/>
      <c r="N37" s="19"/>
      <c r="O37" s="19"/>
      <c r="P37" s="19"/>
    </row>
    <row r="38" spans="1:26" ht="19.5" customHeight="1">
      <c r="C38" s="19"/>
      <c r="D38" s="19"/>
      <c r="E38" s="19"/>
      <c r="F38" s="19"/>
      <c r="G38" s="19"/>
      <c r="H38" s="19"/>
      <c r="I38" s="19"/>
      <c r="J38" s="19"/>
      <c r="K38" s="19"/>
      <c r="L38" s="19"/>
      <c r="M38" s="19"/>
      <c r="N38" s="19"/>
      <c r="O38" s="19"/>
      <c r="P38" s="19"/>
    </row>
    <row r="39" spans="1:26" ht="19.5" customHeight="1">
      <c r="C39" s="19"/>
      <c r="D39" s="19"/>
      <c r="E39" s="19"/>
      <c r="F39" s="19"/>
      <c r="G39" s="19"/>
      <c r="H39" s="19"/>
      <c r="I39" s="19"/>
      <c r="J39" s="19"/>
      <c r="K39" s="19"/>
      <c r="L39" s="19"/>
      <c r="M39" s="19"/>
      <c r="N39" s="19"/>
      <c r="O39" s="19"/>
      <c r="P39" s="19"/>
    </row>
    <row r="40" spans="1:26" ht="19.5" customHeight="1">
      <c r="F40" s="19"/>
      <c r="G40" s="19"/>
      <c r="H40" s="19"/>
      <c r="I40" s="19"/>
      <c r="J40" s="19"/>
      <c r="K40" s="19"/>
      <c r="L40" s="19"/>
      <c r="M40" s="19"/>
      <c r="N40" s="19"/>
      <c r="O40" s="19"/>
      <c r="P40" s="19"/>
    </row>
    <row r="41" spans="1:26" ht="19.5" customHeight="1">
      <c r="C41" s="19"/>
      <c r="D41" s="19"/>
      <c r="E41" s="19"/>
      <c r="F41" s="19"/>
      <c r="G41" s="19"/>
      <c r="H41" s="19"/>
      <c r="I41" s="19"/>
      <c r="J41" s="19"/>
      <c r="K41" s="19"/>
      <c r="L41" s="19"/>
      <c r="M41" s="19"/>
      <c r="N41" s="19"/>
      <c r="O41" s="19"/>
      <c r="P41" s="19"/>
    </row>
    <row r="42" spans="1:26" ht="19.5" customHeight="1">
      <c r="C42" s="19"/>
      <c r="D42" s="19"/>
      <c r="E42" s="19"/>
      <c r="F42" s="19"/>
      <c r="G42" s="19"/>
      <c r="H42" s="19"/>
      <c r="I42" s="19"/>
      <c r="J42" s="19"/>
      <c r="K42" s="19"/>
      <c r="L42" s="19"/>
      <c r="M42" s="19"/>
      <c r="N42" s="19"/>
      <c r="O42" s="19"/>
      <c r="P42" s="19"/>
    </row>
    <row r="43" spans="1:26" ht="19.5" customHeight="1">
      <c r="C43" s="19"/>
      <c r="D43" s="19"/>
      <c r="E43" s="19"/>
      <c r="F43" s="19"/>
      <c r="G43" s="19"/>
      <c r="H43" s="19"/>
      <c r="I43" s="19"/>
      <c r="J43" s="19"/>
      <c r="K43" s="19"/>
      <c r="L43" s="19"/>
      <c r="M43" s="19"/>
      <c r="N43" s="19"/>
      <c r="O43" s="19"/>
      <c r="P43" s="19"/>
    </row>
    <row r="44" spans="1:26" ht="19.5" customHeight="1">
      <c r="C44" s="19"/>
      <c r="D44" s="19"/>
      <c r="E44" s="19"/>
      <c r="F44" s="19"/>
      <c r="G44" s="19"/>
      <c r="H44" s="19"/>
      <c r="I44" s="19"/>
      <c r="J44" s="19"/>
      <c r="K44" s="19"/>
      <c r="L44" s="19"/>
      <c r="M44" s="19"/>
      <c r="N44" s="19"/>
      <c r="O44" s="19"/>
      <c r="P44" s="19"/>
    </row>
    <row r="45" spans="1:26" ht="19.5" customHeight="1">
      <c r="C45" s="19"/>
      <c r="D45" s="19"/>
      <c r="E45" s="19"/>
      <c r="F45" s="19"/>
      <c r="G45" s="19"/>
      <c r="H45" s="19"/>
      <c r="I45" s="19"/>
      <c r="J45" s="19"/>
      <c r="K45" s="19"/>
      <c r="L45" s="19"/>
      <c r="M45" s="19"/>
      <c r="N45" s="19"/>
      <c r="O45" s="19"/>
      <c r="P45" s="19"/>
    </row>
    <row r="46" spans="1:26" ht="19.5" customHeight="1">
      <c r="C46" s="19"/>
      <c r="D46" s="19"/>
      <c r="E46" s="19"/>
      <c r="F46" s="19"/>
      <c r="G46" s="19"/>
      <c r="H46" s="19"/>
      <c r="I46" s="19"/>
      <c r="J46" s="19"/>
      <c r="K46" s="19"/>
      <c r="L46" s="19"/>
      <c r="M46" s="19"/>
      <c r="N46" s="19"/>
      <c r="O46" s="19"/>
      <c r="P46" s="19"/>
    </row>
    <row r="47" spans="1:26" ht="19.5" customHeight="1">
      <c r="C47" s="19"/>
      <c r="D47" s="19"/>
      <c r="E47" s="19"/>
      <c r="F47" s="19"/>
      <c r="G47" s="19"/>
      <c r="H47" s="19"/>
      <c r="I47" s="19"/>
      <c r="J47" s="19"/>
      <c r="K47" s="19"/>
      <c r="L47" s="19"/>
      <c r="M47" s="19"/>
      <c r="N47" s="19"/>
      <c r="O47" s="19"/>
      <c r="P47" s="19"/>
    </row>
    <row r="48" spans="1:26" ht="19.5" customHeight="1">
      <c r="C48" s="19"/>
      <c r="D48" s="19"/>
      <c r="E48" s="19"/>
      <c r="F48" s="19"/>
      <c r="G48" s="19"/>
      <c r="H48" s="19"/>
      <c r="I48" s="19"/>
      <c r="J48" s="19"/>
      <c r="K48" s="19"/>
      <c r="L48" s="19"/>
      <c r="M48" s="19"/>
      <c r="N48" s="19"/>
      <c r="O48" s="19"/>
      <c r="P48" s="19"/>
    </row>
    <row r="49" spans="3:16" ht="19.5" customHeight="1">
      <c r="C49" s="19"/>
      <c r="D49" s="19"/>
      <c r="E49" s="19"/>
      <c r="F49" s="19"/>
      <c r="G49" s="19"/>
      <c r="H49" s="19"/>
      <c r="I49" s="19"/>
      <c r="J49" s="19"/>
      <c r="K49" s="19"/>
      <c r="L49" s="19"/>
      <c r="M49" s="19"/>
      <c r="N49" s="19"/>
      <c r="O49" s="19"/>
      <c r="P49" s="19"/>
    </row>
    <row r="50" spans="3:16" ht="19.5" customHeight="1">
      <c r="C50" s="19"/>
      <c r="D50" s="19"/>
      <c r="E50" s="19"/>
      <c r="F50" s="19"/>
      <c r="G50" s="19"/>
      <c r="H50" s="19"/>
      <c r="I50" s="19"/>
      <c r="J50" s="19"/>
      <c r="K50" s="19"/>
      <c r="L50" s="19"/>
      <c r="M50" s="19"/>
      <c r="N50" s="19"/>
      <c r="O50" s="19"/>
      <c r="P50" s="19"/>
    </row>
    <row r="51" spans="3:16" ht="19.5" customHeight="1">
      <c r="C51" s="19"/>
      <c r="D51" s="19"/>
      <c r="E51" s="19"/>
      <c r="F51" s="19"/>
      <c r="G51" s="19"/>
      <c r="H51" s="19"/>
      <c r="I51" s="19"/>
      <c r="J51" s="19"/>
      <c r="K51" s="19"/>
      <c r="L51" s="19"/>
      <c r="M51" s="19"/>
      <c r="N51" s="19"/>
      <c r="O51" s="19"/>
      <c r="P51" s="19"/>
    </row>
    <row r="52" spans="3:16" ht="19.5" customHeight="1">
      <c r="C52" s="19"/>
      <c r="D52" s="19"/>
      <c r="E52" s="19"/>
      <c r="F52" s="19"/>
      <c r="G52" s="19"/>
      <c r="H52" s="19"/>
      <c r="I52" s="19"/>
      <c r="J52" s="19"/>
      <c r="K52" s="19"/>
      <c r="L52" s="19"/>
      <c r="M52" s="19"/>
      <c r="N52" s="19"/>
      <c r="O52" s="19"/>
      <c r="P52" s="19"/>
    </row>
    <row r="53" spans="3:16" ht="19.5" customHeight="1">
      <c r="C53" s="19"/>
      <c r="D53" s="19"/>
      <c r="E53" s="19"/>
      <c r="F53" s="19"/>
      <c r="G53" s="19"/>
      <c r="H53" s="19"/>
      <c r="I53" s="19"/>
      <c r="J53" s="19"/>
      <c r="K53" s="19"/>
      <c r="L53" s="19"/>
      <c r="M53" s="19"/>
      <c r="N53" s="19"/>
      <c r="O53" s="19"/>
      <c r="P53" s="19"/>
    </row>
    <row r="54" spans="3:16" ht="19.5" customHeight="1">
      <c r="C54" s="19"/>
      <c r="D54" s="19"/>
      <c r="E54" s="19"/>
      <c r="F54" s="19"/>
      <c r="G54" s="19"/>
      <c r="H54" s="19"/>
      <c r="I54" s="19"/>
      <c r="J54" s="19"/>
      <c r="K54" s="19"/>
      <c r="L54" s="19"/>
      <c r="M54" s="19"/>
      <c r="N54" s="19"/>
      <c r="O54" s="19"/>
    </row>
    <row r="55" spans="3:16" ht="15.75" customHeight="1">
      <c r="C55" s="19"/>
      <c r="D55" s="19"/>
      <c r="E55" s="19"/>
      <c r="F55" s="19"/>
      <c r="G55" s="19"/>
      <c r="H55" s="19"/>
      <c r="I55" s="19"/>
      <c r="J55" s="19"/>
      <c r="K55" s="19"/>
      <c r="L55" s="19"/>
      <c r="M55" s="19"/>
      <c r="N55" s="19"/>
      <c r="O55" s="19"/>
    </row>
    <row r="56" spans="3:16" ht="15.75" customHeight="1"/>
    <row r="57" spans="3:16" ht="15.75" customHeight="1"/>
    <row r="58" spans="3:16" ht="15.75" customHeight="1"/>
    <row r="59" spans="3:16" ht="15.75" customHeight="1"/>
    <row r="60" spans="3:16" ht="15.75" customHeight="1"/>
    <row r="61" spans="3:16" ht="15.75" customHeight="1"/>
    <row r="62" spans="3:16" ht="15.75" customHeight="1"/>
    <row r="63" spans="3:16" ht="15.75" customHeight="1"/>
    <row r="64" spans="3: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'Formato descripción HU'!$B$6:$B$23</xm:f>
          </x14:formula1>
          <xm:sqref>C11</xm:sqref>
        </x14:dataValidation>
        <x14:dataValidation type="list" allowBlank="1" showErrorMessage="1" xr:uid="{00000000-0002-0000-0100-000001000000}">
          <x14:formula1>
            <xm:f>'Formato descripción HU'!$B$6:$B$28</xm:f>
          </x14:formula1>
          <xm:sqref>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Manangón</dc:creator>
  <cp:lastModifiedBy>Alejandro Manangón</cp:lastModifiedBy>
  <dcterms:created xsi:type="dcterms:W3CDTF">2025-12-11T14:41:34Z</dcterms:created>
  <dcterms:modified xsi:type="dcterms:W3CDTF">2025-12-11T14:41:34Z</dcterms:modified>
</cp:coreProperties>
</file>