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4"/>
    <sheet state="visible" name="MODELO LISTA DE COMPROBACION RF" sheetId="2" r:id="rId5"/>
    <sheet state="visible" name="MODELO LISTA DE COMPROBACIÓN RF" sheetId="3" r:id="rId6"/>
    <sheet state="visible" name="Hoja 1" sheetId="4" r:id="rId7"/>
    <sheet state="visible" name="MODELO DE LISTA DE COMPROBACION" sheetId="5" r:id="rId8"/>
    <sheet state="visible" name="RECOMENDACIONES - RF1" sheetId="6" r:id="rId9"/>
    <sheet state="visible" name="RECOMENDACIONES - RF2" sheetId="7" r:id="rId10"/>
    <sheet state="visible" name="RECOMENDACIONES - RF4" sheetId="8" r:id="rId11"/>
    <sheet state="visible" name="RECOMENDACIONES - FN-8" sheetId="9" r:id="rId12"/>
  </sheets>
  <definedNames/>
  <calcPr/>
  <extLst>
    <ext uri="GoogleSheetsCustomDataVersion2">
      <go:sheetsCustomData xmlns:go="http://customooxmlschemas.google.com/" r:id="rId13" roundtripDataChecksum="w7zhWTwWb0SoHfA2WGUqFGWmkiUTWw3xUZN59B7Ndp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ID#AAABsh69PAs
jeny ruiz    (2025-10-16 16:47:51)
Es importante ingresar el archivo plano en formato excel para el cliente y el desarrollador</t>
      </text>
    </comment>
    <comment authorId="0" ref="K9">
      <text>
        <t xml:space="preserve">======
ID#AAABsh69PAY
jeny ruiz    (2025-10-16 16:47:51)
Es importante ingresar el archivo plano en formato excel para el cliente y el desarrollador</t>
      </text>
    </comment>
    <comment authorId="0" ref="I7">
      <text>
        <t xml:space="preserve">======
ID#AAABsh69PAU
jeny ruiz    (2025-10-16 16:47:51)
Se guarda en un archivo Excel los registros que dieron un problema en la actualización.</t>
      </text>
    </comment>
    <comment authorId="0" ref="E7">
      <text>
        <t xml:space="preserve">======
ID#AAABsh69PAM
jeny ruiz    (2025-10-16 16:47:51)
Control del nivel de acuedo entre las partes Cliente y Desarrollador</t>
      </text>
    </comment>
    <comment authorId="0" ref="K7">
      <text>
        <t xml:space="preserve">======
ID#AAABsh69PAE
jeny ruiz    (2025-10-16 16:47:51)
jeny ruiz:
Posterior a la actualización, se guardaran automáticamente el nombre de usuario, fecha, hora, registro antiguo, registro nuevo.</t>
      </text>
    </comment>
    <comment authorId="0" ref="C17">
      <text>
        <t xml:space="preserve">======
ID#AAABsh69O_8
jeny ruiz    (2025-10-16 16:47:51)
El origen del requisito y sus relaciones con otros requisitos  están claros.</t>
      </text>
    </comment>
    <comment authorId="0" ref="G7">
      <text>
        <t xml:space="preserve">======
ID#AAABsh69O_4
jeny ruiz    (2025-10-16 16:47:51)
Control del nivel de acuedo entre las partes Cliente y Desarrollador</t>
      </text>
    </comment>
    <comment authorId="0" ref="C19">
      <text>
        <t xml:space="preserve">======
ID#AAABsh69O_s
jeny ruiz    (2025-10-16 16:47:51)
Para todos los interesados dependiendo  de la fase del proyecto podrían estar involucrados  distintos implicados,(Glosario de tèrminos)</t>
      </text>
    </comment>
    <comment authorId="0" ref="C18">
      <text>
        <t xml:space="preserve">======
ID#AAABsh4ECBQ
jeny ruiz    (2025-10-16 16:47:51)
Trata todos los asuntos relevantes</t>
      </text>
    </comment>
    <comment authorId="0" ref="F7">
      <text>
        <t xml:space="preserve">======
ID#AAABsh4ECBI
jeny ruiz    (2025-10-16 16:47:51)
La información contenida en memoria se utiliza para actualizar los campos de la base de datos.</t>
      </text>
    </comment>
    <comment authorId="0" ref="C9">
      <text>
        <t xml:space="preserve">======
ID#AAABsh4ECBE
jeny ruiz    (2025-10-16 16:47:51)
Todos los interesados reconocen que el  requisito es correcto y relevante</t>
      </text>
    </comment>
    <comment authorId="0" ref="C15">
      <text>
        <t xml:space="preserve">======
ID#AAABsh4ECAs
jeny ruiz    (2025-10-16 16:47:51)
Su cumplimiento o no cumplimiento puede der probado con un esfuerzo razonable</t>
      </text>
    </comment>
    <comment authorId="0" ref="F9">
      <text>
        <t xml:space="preserve">======
ID#AAABsh4ECAo
jeny ruiz    (2025-10-16 16:47:51)
Es importante ingresar el archivo plano en formato excel para el cliente y el desarrollador</t>
      </text>
    </comment>
    <comment authorId="0" ref="J7">
      <text>
        <t xml:space="preserve">======
ID#AAABsh4ECAw
jeny ruiz    (2025-10-16 16:47:51)
Control del nivel de acuedo entre las partes Cliente y Desarrollador</t>
      </text>
    </comment>
    <comment authorId="0" ref="C13">
      <text>
        <t xml:space="preserve">======
ID#AAABsh4ECAc
jeny ruiz    (2025-10-16 16:47:51)
Refleja las espectativas  del implicado</t>
      </text>
    </comment>
    <comment authorId="0" ref="C12">
      <text>
        <t xml:space="preserve">======
ID#AAABsh4ECAQ
jeny ruiz    (2025-10-16 16:47:51)
Toda nueva información  ha sido incorporada</t>
      </text>
    </comment>
    <comment authorId="0" ref="C11">
      <text>
        <t xml:space="preserve">======
ID#AAABsh2JFVU
jeny ruiz    (2025-10-16 16:47:51)
Todos los lectores comprenden de la misma manera, sólo una interpretación</t>
      </text>
    </comment>
    <comment authorId="0" ref="C16">
      <text>
        <t xml:space="preserve">======
ID#AAABsh2JFVM
jeny ruiz    (2025-10-16 16:47:51)
Puede ser implementado  y desarrollado en las condiciones actuales(tiempo, Presupuest,, orgtanizaciòn, ect)</t>
      </text>
    </comment>
    <comment authorId="0" ref="C10">
      <text>
        <t xml:space="preserve">======
ID#AAABsh2JFUw
jeny ruiz    (2025-10-16 16:47:51)
Ponderado por importancia o prioridad</t>
      </text>
    </comment>
    <comment authorId="0" ref="C14">
      <text>
        <t xml:space="preserve">======
ID#AAABsh2JFUs
jeny ruiz    (2025-10-16 16:47:51)
Sin contradicciones</t>
      </text>
    </comment>
  </commentList>
  <extLst>
    <ext uri="GoogleSheetsCustomDataVersion2">
      <go:sheetsCustomData xmlns:go="http://customooxmlschemas.google.com/" r:id="rId1" roundtripDataSignature="AMtx7mihRLLUfLQbqHN+Gs6ksAqjM4JAo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
ID#AAABsh69PAc
ESPE    (2025-10-16 16:47:51)
CORRECCION</t>
      </text>
    </comment>
    <comment authorId="0" ref="B15">
      <text>
        <t xml:space="preserve">======
ID#AAABsh69O_w
ESPE    (2025-10-16 16:47:51)
NECESIDAD</t>
      </text>
    </comment>
    <comment authorId="0" ref="B14">
      <text>
        <t xml:space="preserve">======
ID#AAABsh4ECBU
ESPE    (2025-10-16 16:47:51)
CONSISTENCIA</t>
      </text>
    </comment>
    <comment authorId="0" ref="B8">
      <text>
        <t xml:space="preserve">======
ID#AAABsh4ECA4
ESPE    (2025-10-16 16:47:51)
COMPLETITUD DOCUMENTO</t>
      </text>
    </comment>
    <comment authorId="0" ref="B10">
      <text>
        <t xml:space="preserve">======
ID#AAABsh4ECAk
ESPE    (2025-10-16 16:47:51)
TRAZABILIDAD</t>
      </text>
    </comment>
    <comment authorId="0" ref="B9">
      <text>
        <t xml:space="preserve">======
ID#AAABsh2JFVY
ESPE    (2025-10-16 16:47:51)
COMPLETITUD REQUISITO INDIVIDUAL</t>
      </text>
    </comment>
    <comment authorId="0" ref="B16">
      <text>
        <t xml:space="preserve">======
ID#AAABsh2JFVE
ESPE    (2025-10-16 16:47:51)
verificable</t>
      </text>
    </comment>
    <comment authorId="0" ref="B11">
      <text>
        <t xml:space="preserve">======
ID#AAABsh2JFVA
ESPE    (2025-10-16 16:47:51)
trazabilidad</t>
      </text>
    </comment>
    <comment authorId="0" ref="B12">
      <text>
        <t xml:space="preserve">======
ID#AAABsh2JFU0
ESPE    (2025-10-16 16:47:51)
TRAZABILIDAD</t>
      </text>
    </comment>
  </commentList>
  <extLst>
    <ext uri="GoogleSheetsCustomDataVersion2">
      <go:sheetsCustomData xmlns:go="http://customooxmlschemas.google.com/" r:id="rId1" roundtripDataSignature="AMtx7mh827CMywf+eRumV3Ab7OoMNrtBP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
ID#AAABsh69PAI
ESPE    (2025-10-16 16:47:51)
trazabilidad</t>
      </text>
    </comment>
    <comment authorId="0" ref="B9">
      <text>
        <t xml:space="preserve">======
ID#AAABsh69PAA
ESPE    (2025-10-16 16:47:51)
COMPLETITUD REQUISITO INDIVIDUAL</t>
      </text>
    </comment>
    <comment authorId="0" ref="B13">
      <text>
        <t xml:space="preserve">======
ID#AAABsh69O_0
ESPE    (2025-10-16 16:47:51)
CORRECCION</t>
      </text>
    </comment>
    <comment authorId="0" ref="B12">
      <text>
        <t xml:space="preserve">======
ID#AAABsh4ECBM
ESPE    (2025-10-16 16:47:51)
TRAZABILIDAD</t>
      </text>
    </comment>
    <comment authorId="0" ref="B16">
      <text>
        <t xml:space="preserve">======
ID#AAABsh4ECA0
ESPE    (2025-10-16 16:47:51)
verificable</t>
      </text>
    </comment>
    <comment authorId="0" ref="B14">
      <text>
        <t xml:space="preserve">======
ID#AAABsh4ECBA
ESPE    (2025-10-16 16:47:51)
CONSISTENCIA</t>
      </text>
    </comment>
    <comment authorId="0" ref="B8">
      <text>
        <t xml:space="preserve">======
ID#AAABsh4ECAg
ESPE    (2025-10-16 16:47:51)
COMPLETITUD DOCUMENTO</t>
      </text>
    </comment>
    <comment authorId="0" ref="B10">
      <text>
        <t xml:space="preserve">======
ID#AAABsh2JFVQ
ESPE    (2025-10-16 16:47:51)
TRAZABILIDAD</t>
      </text>
    </comment>
    <comment authorId="0" ref="B15">
      <text>
        <t xml:space="preserve">======
ID#AAABsh2JFU4
ESPE    (2025-10-16 16:47:51)
NECESIDAD</t>
      </text>
    </comment>
  </commentList>
  <extLst>
    <ext uri="GoogleSheetsCustomDataVersion2">
      <go:sheetsCustomData xmlns:go="http://customooxmlschemas.google.com/" r:id="rId1" roundtripDataSignature="AMtx7mhT7/R9bAePbjkR4dnqfjYQTIegVg=="/>
    </ext>
  </extLst>
</comments>
</file>

<file path=xl/sharedStrings.xml><?xml version="1.0" encoding="utf-8"?>
<sst xmlns="http://schemas.openxmlformats.org/spreadsheetml/2006/main" count="407" uniqueCount="130">
  <si>
    <t>MATRIZ PARA COMPROBACIÓN REQUERIMIENTOS DE CALIDAD DE PROYECTO ACADEMICO</t>
  </si>
  <si>
    <t>SISTEMA:</t>
  </si>
  <si>
    <t>Pago Seguro Agrotac</t>
  </si>
  <si>
    <t>Requerimientos  Funcionales</t>
  </si>
  <si>
    <t>Nº</t>
  </si>
  <si>
    <t>CRITERIOS DE CALIDAD (Documento/Requerimientos)</t>
  </si>
  <si>
    <t>Status
Nivel de Acuerdo</t>
  </si>
  <si>
    <t xml:space="preserve">
RF-1: Gestionar acceso al sistema
</t>
  </si>
  <si>
    <t>RF-2: Registrar Comprobante de Pago</t>
  </si>
  <si>
    <t>RF4. Impotar Datos de Facturación</t>
  </si>
  <si>
    <t>RF-8: Gestionar notificaciones</t>
  </si>
  <si>
    <t>Agreed</t>
  </si>
  <si>
    <t>OK</t>
  </si>
  <si>
    <t>1. Videoconferencia de la entrevista
2. Minuta de la entrevista</t>
  </si>
  <si>
    <t>1. Revisión conjunta con el equipo y tutor en videollamada.
2. Minuta del análisis de requisitos y confirmación del alcance funcional.</t>
  </si>
  <si>
    <t>1. Videoconferencia de la entrevista                                                                                                                    2. Minuta de la entrevista
3. Aceptación del prototipo no funcional mediante videoconferencia</t>
  </si>
  <si>
    <t>Videoconferencia de reunión con el cliente
Minuta de la entrevista donde se acordó el requisito
Documento ADS con la especificación del requisito</t>
  </si>
  <si>
    <t>Ranked</t>
  </si>
  <si>
    <t>NOK</t>
  </si>
  <si>
    <t>1. En la descripción del caso de Uso se especifica la prioridad de obligatorio</t>
  </si>
  <si>
    <t>1. Se especifica como requisito obligatorio y crítico para la operación del sistema, ya que impacta directamente en la gestión financiera y trazabilidad de pagos.</t>
  </si>
  <si>
    <t>1. En la descripción del caso de Uso no se expecifíca la prioridad de este</t>
  </si>
  <si>
    <t>• En la descripción del caso de uso se especifica como requisito crítico para evitar morosidad
• Está vinculado a objetivos de negocio relacionados con la gestión de créditos</t>
  </si>
  <si>
    <t>Unambiguos</t>
  </si>
  <si>
    <t xml:space="preserve">1.  Redacción en lenguaje claro.                                                                               2. El tutor y el equipo interpretan de igual manera el caso de uso </t>
  </si>
  <si>
    <t>1. El lenguaje es claro y evita ambigüedades.
2. El equipo y el tutor interpretan el mismo flujo del caso de uso (registro, validación, acuse).</t>
  </si>
  <si>
    <t>• Redacción clara usando términos específicos: 'fecha límite', 'vencimiento', 'notificación'
• El tutor y el equipo interpretan de igual manera el caso de uso
• Flujo de secuencia bien definido sin ambigüedades</t>
  </si>
  <si>
    <t>Valid and up-to date</t>
  </si>
  <si>
    <t>1. Toda nueva información ha sido incorporada, se han incorporado los últimos cambios pedidos luego del feedback realizado por el cliente</t>
  </si>
  <si>
    <t>1. Faltan incorporar observaciones recientes del cliente respecto a la validación automática con bancos o pasarelas de pago.</t>
  </si>
  <si>
    <t>1. No se han incorporado los últimos cambios cambios tras el feedback realizado por el cliente</t>
  </si>
  <si>
    <t xml:space="preserve"> No se han incorporado los últimos cambios cambios tras el feedback realizado por el cliente</t>
  </si>
  <si>
    <t>Correct</t>
  </si>
  <si>
    <t>1. Está alineado con los objetivos del sistema.                                                                                                                                                                                                                        2. Refleja lo que realmente necesita el cliente.</t>
  </si>
  <si>
    <t>1. Está alineado con los objetivos O-5 (Evitar errores de registro) y O-7 (Trazabilidad de comprobantes).
2. Representa una necesidad real del proceso contable.</t>
  </si>
  <si>
    <t>• Alineado con objetivos del sistema de gestión de créditos
• Refleja la necesidad real del cliente de prevenir morosidad
• Contribuye al objetivo de trazabilidad de pagos</t>
  </si>
  <si>
    <t>Consisten</t>
  </si>
  <si>
    <t xml:space="preserve">1. Documentación basada en el modelo Diagrama de Casos de Uso
                                            </t>
  </si>
  <si>
    <t>1. El flujo del caso de uso es coherente con los modelos de datos y el Diagrama de Casos de Uso.
2. Mantiene consistencia con RF-3 (Procesar Pagos a Crédito).</t>
  </si>
  <si>
    <t xml:space="preserve">
1. Usa términos definidos previamente.                                                    2. Palabras repetitivas.                                              </t>
  </si>
  <si>
    <t xml:space="preserve">• Alineado con objetivos del sistema de gestión de créditos
• Refleja la necesidad real del cliente de prevenir morosidad
• Contribuye al objetivo de trazabilidad de pagos                    </t>
  </si>
  <si>
    <t>Verifiable</t>
  </si>
  <si>
    <t>1.  Falta Casos de Prueba</t>
  </si>
  <si>
    <t>1. Aún no se han definido casos de prueba unitarios y de integración para validar duplicados y la generación del acuse.</t>
  </si>
  <si>
    <t>1. Se puede probar mediante archivos de entrada (correctos e incorrectos).
2. Se pueden revisar los resultados en la base de datos y en los módulos del sistema.
3. Se puede confirmar la generación de reportes de errores y la confirmación de importación.</t>
  </si>
  <si>
    <t>• Faltan casos de prueba específicos para validar la generación automática de notificaciones
• No se han definido criterios de aceptación medibles
• Falta especificar métricas de verificación</t>
  </si>
  <si>
    <t>Realizable</t>
  </si>
  <si>
    <t>1. Funcionalidad tomada en cuenta dentro de la estimación del costo del proyecto 
2. No se ha desarrollado</t>
  </si>
  <si>
    <t>1. El desarrollo del módulo es técnicamente viable con los recursos actuales (framework, base de datos y arquitectura definidos).
2. Su implementación no requiere infraestructura adicional ni dependencias externas complejas.</t>
  </si>
  <si>
    <t>1. Todos los componentes técnicos están dentro del alcance de un desarrollo           2. Falta especificar protocolos y forma de migrar los datos</t>
  </si>
  <si>
    <t>• Funcionalidad considerada en el presupuesto
• Técnicamente viable con los recursos del sistema
• Dentro del alcance del desarrollo</t>
  </si>
  <si>
    <t>Traceable</t>
  </si>
  <si>
    <t>1. Es claro el origen del requisito y sus relaciones con otros requisitos (matriz de trazabilidad cliente/casos de uso y casos de uso/casos de uso) 
2. Cuenta con un identificador único</t>
  </si>
  <si>
    <t>1. Se encuentra relacionado con O-7 (Trazabilidad) y RNF-05 (Registro y Monitoreo).
2. Incluido en la matriz de trazabilidad entre requerimientos y casos de uso.</t>
  </si>
  <si>
    <t>1. Se muestra sus asociaciones con los usuarios en el caso de uso                         2. Cuenta con un identificador único    3. Se ve su asociación con otros caso de uso y su trayectoria.</t>
  </si>
  <si>
    <t>• Identificador único: RF-8.1, RF-8.2, RF-8.1
• Origen claro en entrevista con cliente
• Asociado a RNF-06, RNF-09, RNF-10 • Incluido en matriz de trazabilidad requisitos/casos de uso</t>
  </si>
  <si>
    <t>Complete</t>
  </si>
  <si>
    <t>1. Contiene toda la información necesaria (entradas, salidas, precondiciones, postcondiciones) para entender y diseñar la función. 
2. Describe completamente la funcionalidad esperada.</t>
  </si>
  <si>
    <t>1. Contiene entradas, validaciones, precondiciones, postcondiciones y actores claramente definidos.
2. Describe adecuadamente las reglas de negocio y los resultados esperados.</t>
  </si>
  <si>
    <t xml:space="preserve">1. No contiene toda la información necesaria como precondiciones o postcondiciones para entender y diseñar la función.                               </t>
  </si>
  <si>
    <t>• Contiene entradas: fecha actual, créditos registrados
• Salidas definidas: notificación al cliente
• Precondiciones y postcondiciones especificadas</t>
  </si>
  <si>
    <t>Understandability</t>
  </si>
  <si>
    <t>1. Se involucra al cliente
2. Existe glosario de términos</t>
  </si>
  <si>
    <t>1. El cliente participó en la definición del flujo y la validación de campos.
2. Existe glosario de términos contables y financieros en el documento de soporte.</t>
  </si>
  <si>
    <t xml:space="preserve">
1. No se aclaran los términos respaldado por un glosario </t>
  </si>
  <si>
    <t>• Cliente participó en la definición del requisito
• Existe glosario de términos del sistema
• Lenguaje claro y comprensible para todas las partes
• Términos técnicos explicados en documentación</t>
  </si>
  <si>
    <t>Sistema De Gestión De Crianza De Conejos (Hoptolt)</t>
  </si>
  <si>
    <t>FECHA:</t>
  </si>
  <si>
    <t>AUTOR:</t>
  </si>
  <si>
    <t xml:space="preserve">Simoné Medina
</t>
  </si>
  <si>
    <t>REQUERIMIENTOS EVALUADOS :</t>
  </si>
  <si>
    <t>CU001.3 Gestionar acceso al sistema</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</si>
  <si>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</si>
  <si>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</si>
  <si>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</si>
  <si>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</si>
  <si>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</si>
  <si>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</si>
  <si>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</si>
  <si>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</si>
  <si>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</si>
  <si>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</si>
  <si>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</si>
  <si>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</si>
  <si>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</si>
  <si>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</si>
  <si>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</si>
  <si>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</si>
  <si>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</si>
  <si>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</si>
  <si>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</si>
  <si>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</si>
  <si>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</si>
  <si>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</si>
  <si>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</si>
  <si>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</si>
  <si>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</si>
  <si>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</si>
  <si>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</si>
  <si>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</si>
  <si>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</si>
  <si>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 xml:space="preserve">Oswaldo Tipan
</t>
  </si>
  <si>
    <t>RF4. Importar datos de Facturación</t>
  </si>
  <si>
    <t xml:space="preserve">Pago Seguro Agrotac	</t>
  </si>
  <si>
    <t>Fernando Sandoval</t>
  </si>
  <si>
    <t xml:space="preserve">Zaith Manangón, Medina Simoné
,Sandoval Fernando , Tipán Oswaldo 
</t>
  </si>
  <si>
    <t xml:space="preserve">RF-8: Gestionar notificaciones
</t>
  </si>
  <si>
    <t>¿Qué tan facil es devolverse a los requerimientos?</t>
  </si>
  <si>
    <t>Aplica un estandar para la documeN5tación de requerimiento?</t>
  </si>
  <si>
    <t>PREGUNTA</t>
  </si>
  <si>
    <t>RECOMENDACIÓN</t>
  </si>
  <si>
    <t>¿Existe un proceso acotado (en plazo y presupuesto) que permita determinar que el sistema construido satisface lo descrito en el propio requerimiento?</t>
  </si>
  <si>
    <t>Se recomienda establecer un proceso formal de validación y verificación que permita determinar de manera objetiva si el sistema construido satisface lo descrito en los requerimientos del caso de uso “Acceso al sistema”. Este proceso debe estar claramente delimitado en cuanto a tiempo y presupuesto, e incluir actividades específicas de revisión, prueba y validación de los resultados. Asimismo, es necesario definir criterios de aceptación claros y medibles, basados en los requerimientos funcionales y no funcionales, e incorporar pruebas de aceptación por parte de los usuarios finales para confirmar que el sistema responde adecuadamente a sus necesidades. La documentación de los resultados obtenidos, junto con la trazabilidad entre requerimientos, casos de prueba y resultados, permitirá garantizar una adecuada cobertura y control del proceso. Con esta medida, se busca asegurar que el sistema cumpla con los objetivos planteados, minimizando riesgos de incumplimiento, retrabajo y desviaciones en el desarrollo.</t>
  </si>
  <si>
    <t>¿Los requerimientos Funcionales estan sujetos a una única interpretación?</t>
  </si>
  <si>
    <t>Se recomienda revisar y reformular los requerimientos funcionales para asegurar que estén redactados de manera clara, precisa y sin ambigüedades, de modo que no den lugar a interpretaciones múltiples. Cada requerimiento debe expresar una sola intención funcional, utilizando un lenguaje técnico consistente y verificable. Es conveniente aplicar técnicas de revisión por pares y validación con los usuarios o responsables del negocio, con el fin de confirmar que todos los involucrados interpretan el requerimiento de la misma manera. Asimismo, se sugiere establecer criterios de aceptación objetivos que permitan comprobar su cumplimiento sin ambigüedad.</t>
  </si>
  <si>
    <t>¿Todos los requerimientos han sido acordados con todos los interesados?</t>
  </si>
  <si>
    <t>Se recomienda realizar sesiones de validación y consenso con todos los interesados clave antes de cerrar la especificación de requerimientos, para asegurar que todos estén alineados con las necesidades del sistema.</t>
  </si>
  <si>
    <t>¿Todos los requerimientos modificados han sido acordados por todos los implicados?</t>
  </si>
  <si>
    <t>Es importante formalizar la aprobación de los cambios en los requerimientos, asegurando que todos los involucrados tengan conocimiento de las modificaciones realizadas antes de continuar con el desarrollo.</t>
  </si>
  <si>
    <t>¿Han sido resueltos todos los conflictos conocidos respecto de los requerimientos?</t>
  </si>
  <si>
    <t>Se recomienda implementar una estrategia de resolución de conflictos en la cual se detallen los mecanismos a seguir cuando surjan desacuerdos en cuanto a los requisitos, para evitar retrasos en el proyecto.</t>
  </si>
  <si>
    <t>Implementar trazabilidad de requerimientos. Esto se logra registrando cada requerimiento en una matriz de trazabilidad, relacionándolo con: Casos de uso, Diseños de módulos, Pruebas, Entregables de desarrollo</t>
  </si>
  <si>
    <t>¿Se han definido criterios de aceptación y casos de prueba
 que permitan medir objetivamente el cumplimiento del 
requisito?</t>
  </si>
  <si>
    <t>Para cada requerimiento, definir criterios de aceptación claros y medibles, por ejemplo: “El sistema debe permitir crear un usuario en menos de 5 segundos”</t>
  </si>
  <si>
    <t>Implementar un plan de validación y verificación que incluya:
Actividades de prueba (unitarias, integración, aceptación) con fechas y responsables definidos
Presupuesto estimado para pruebas y revisiones</t>
  </si>
  <si>
    <t>Crear un glosario de términos del proyecto, con definiciones claras y consistentes.
Ejemplo: “Usuario: Persona que puede iniciar sesión en el sistema y realizar compras”
Asegurarse de que todos los miembros del equipo lo consulten y actualicen.</t>
  </si>
  <si>
    <t>¿Existen casos de prueba definidos que permitan verificar el cumplimiento del requisito?</t>
  </si>
  <si>
    <t>Se debe elaborar un conjunto completo de casos de prueba para cada sub-requisito del RF-8:
RF-8.1: Casos de prueba que verifiquen la emisión de notificaciones cuando un crédito alcanza su fecha de vencimiento, incluyendo escenarios con diferentes tipos de créditos y fechas.
RF-8.2: Casos de prueba que validen la generación de notificaciones preventivas exactamente 3 días antes del vencimiento, considerando días hábiles, fines de semana y fechas especiales.
RF-8.3: Casos de prueba que confirmen la emisión de alertas para pagos vencidos sin abonos registrados, verificando la correcta identificación de deudas morosas.</t>
  </si>
  <si>
    <t>¿El requisito ha sido implementado y está funcional en el sistema?</t>
  </si>
  <si>
    <t>Se recomienda iniciar el proceso de implementación del RF-8 según lo planificado en el presupuesto del proyecto. Es necesario:
Asignar los recursos técnicos necesarios para el desarrollo de las tres funcionalidades de notificación (RF-8.1, RF-8.2, RF-8.3).
Realizar pruebas unitarias e integrales durante el desarrollo para garantizar el correcto funcionamiento antes del despliegue final.
Coordinar con el cliente una demostración del módulo una vez completada la implementación para validar que cumple con sus expectativas.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</si>
</sst>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8.0"/>
      <color theme="1"/>
      <name val="Arial"/>
    </font>
    <font>
      <b/>
      <sz val="18.0"/>
      <color rgb="FF1F497D"/>
      <name val="Calibri"/>
    </font>
    <font>
      <b/>
      <sz val="18.0"/>
      <color theme="1"/>
      <name val="Calibri"/>
    </font>
    <font>
      <b/>
      <sz val="18.0"/>
      <color theme="1"/>
      <name val="Arial"/>
    </font>
    <font/>
    <font>
      <b/>
      <sz val="12.0"/>
      <color theme="1"/>
      <name val="Arial"/>
    </font>
    <font>
      <b/>
      <sz val="11.0"/>
      <color theme="1"/>
      <name val="Arial"/>
    </font>
    <font>
      <sz val="11.0"/>
      <color theme="1"/>
      <name val="Calibri"/>
    </font>
    <font>
      <b/>
      <sz val="16.0"/>
      <color theme="0"/>
      <name val="Calibri"/>
    </font>
    <font>
      <b/>
      <sz val="16.0"/>
      <color theme="1"/>
      <name val="Calibri"/>
    </font>
    <font>
      <b/>
      <sz val="12.0"/>
      <color rgb="FFFFFFFF"/>
      <name val="Calibri"/>
    </font>
    <font>
      <color theme="1"/>
      <name val="Calibri"/>
    </font>
    <font>
      <b/>
      <sz val="16.0"/>
      <color rgb="FFFFFFFF"/>
      <name val="Calibri"/>
    </font>
    <font>
      <b/>
      <sz val="14.0"/>
      <color theme="1"/>
      <name val="Calibri"/>
    </font>
    <font>
      <sz val="14.0"/>
      <color theme="1"/>
      <name val="Calibri"/>
    </font>
    <font>
      <b/>
      <sz val="18.0"/>
      <color rgb="FFFA7D00"/>
      <name val="Calibri"/>
    </font>
    <font>
      <color theme="1"/>
      <name val="Calibri"/>
      <scheme val="minor"/>
    </font>
    <font>
      <b/>
      <sz val="11.0"/>
      <color theme="1"/>
      <name val="Calibri"/>
    </font>
    <font>
      <b/>
      <sz val="11.0"/>
      <color theme="0"/>
      <name val="Calibri"/>
    </font>
    <font>
      <b/>
      <sz val="11.0"/>
      <color rgb="FFFFFFFF"/>
      <name val="Calibri"/>
    </font>
  </fonts>
  <fills count="10">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93C47D"/>
        <bgColor rgb="FF93C47D"/>
      </patternFill>
    </fill>
    <fill>
      <patternFill patternType="solid">
        <fgColor theme="6"/>
        <bgColor theme="6"/>
      </patternFill>
    </fill>
    <fill>
      <patternFill patternType="solid">
        <fgColor rgb="FFB8CCE4"/>
        <bgColor rgb="FFB8CCE4"/>
      </patternFill>
    </fill>
    <fill>
      <patternFill patternType="solid">
        <fgColor rgb="FFC2D69B"/>
        <bgColor rgb="FFC2D69B"/>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2" fontId="6" numFmtId="0" xfId="0" applyAlignment="1" applyBorder="1" applyFont="1">
      <alignment horizontal="center" shrinkToFit="0" vertical="center" wrapText="1"/>
    </xf>
    <xf borderId="5" fillId="2" fontId="6" numFmtId="0" xfId="0" applyAlignment="1" applyBorder="1" applyFont="1">
      <alignment horizontal="center" shrinkToFit="0" vertical="center" wrapText="1"/>
    </xf>
    <xf borderId="6" fillId="0" fontId="5" numFmtId="0" xfId="0" applyBorder="1" applyFont="1"/>
    <xf borderId="4" fillId="2" fontId="7" numFmtId="0" xfId="0" applyAlignment="1" applyBorder="1" applyFont="1">
      <alignment horizontal="center" shrinkToFit="0" vertical="center" wrapText="1"/>
    </xf>
    <xf borderId="4" fillId="2" fontId="6" numFmtId="0" xfId="0" applyAlignment="1" applyBorder="1" applyFont="1">
      <alignment horizontal="center" readingOrder="0" shrinkToFit="0" vertical="center" wrapText="1"/>
    </xf>
    <xf borderId="7" fillId="0" fontId="8" numFmtId="0" xfId="0" applyBorder="1" applyFont="1"/>
    <xf borderId="8" fillId="0" fontId="5" numFmtId="0" xfId="0" applyBorder="1" applyFont="1"/>
    <xf borderId="9" fillId="0" fontId="5" numFmtId="0" xfId="0" applyBorder="1" applyFont="1"/>
    <xf borderId="10" fillId="0" fontId="5" numFmtId="0" xfId="0" applyBorder="1" applyFont="1"/>
    <xf borderId="11" fillId="3" fontId="9" numFmtId="0" xfId="0" applyAlignment="1" applyBorder="1" applyFill="1" applyFont="1">
      <alignment horizontal="center" shrinkToFit="0" vertical="center" wrapText="1"/>
    </xf>
    <xf borderId="1" fillId="3" fontId="9" numFmtId="0" xfId="0" applyAlignment="1" applyBorder="1" applyFont="1">
      <alignment horizontal="center" shrinkToFit="0" vertical="center" wrapText="1"/>
    </xf>
    <xf borderId="7" fillId="4" fontId="10" numFmtId="0" xfId="0" applyAlignment="1" applyBorder="1" applyFill="1" applyFont="1">
      <alignment horizontal="center" shrinkToFit="0" vertical="center" wrapText="1"/>
    </xf>
    <xf borderId="12" fillId="3" fontId="11" numFmtId="0" xfId="0" applyAlignment="1" applyBorder="1" applyFont="1">
      <alignment horizontal="left" readingOrder="0" shrinkToFit="0" vertical="center" wrapText="1"/>
    </xf>
    <xf borderId="7" fillId="4" fontId="10" numFmtId="0" xfId="0" applyAlignment="1" applyBorder="1" applyFont="1">
      <alignment horizontal="center" readingOrder="0" shrinkToFit="0" vertical="center" wrapText="1"/>
    </xf>
    <xf borderId="0" fillId="0" fontId="12" numFmtId="0" xfId="0" applyFont="1"/>
    <xf borderId="12" fillId="3" fontId="11" numFmtId="0" xfId="0" applyAlignment="1" applyBorder="1" applyFont="1">
      <alignment horizontal="left" shrinkToFit="0" vertical="center" wrapText="1"/>
    </xf>
    <xf borderId="7" fillId="5" fontId="10" numFmtId="0" xfId="0" applyAlignment="1" applyBorder="1" applyFill="1" applyFont="1">
      <alignment horizontal="center" readingOrder="0" shrinkToFit="0" vertical="center" wrapText="1"/>
    </xf>
    <xf borderId="7" fillId="3" fontId="11" numFmtId="0" xfId="0" applyAlignment="1" applyBorder="1" applyFont="1">
      <alignment readingOrder="0" shrinkToFit="0" vertical="center" wrapText="1"/>
    </xf>
    <xf borderId="7" fillId="3" fontId="11" numFmtId="0" xfId="0" applyAlignment="1" applyBorder="1" applyFont="1">
      <alignment shrinkToFit="0" vertical="center" wrapText="1"/>
    </xf>
    <xf borderId="7" fillId="3" fontId="11" numFmtId="0" xfId="0" applyAlignment="1" applyBorder="1" applyFont="1">
      <alignment horizontal="left" shrinkToFit="0" vertical="center" wrapText="1"/>
    </xf>
    <xf borderId="7" fillId="5" fontId="10" numFmtId="0" xfId="0" applyAlignment="1" applyBorder="1" applyFont="1">
      <alignment horizontal="center" shrinkToFit="0" vertical="center" wrapText="1"/>
    </xf>
    <xf borderId="7" fillId="3" fontId="11" numFmtId="0" xfId="0" applyAlignment="1" applyBorder="1" applyFont="1">
      <alignment horizontal="left" readingOrder="0" shrinkToFit="0" vertical="center" wrapText="1"/>
    </xf>
    <xf borderId="1" fillId="3" fontId="13" numFmtId="0" xfId="0" applyAlignment="1" applyBorder="1" applyFont="1">
      <alignment horizontal="center" readingOrder="0" shrinkToFit="0" vertical="center" wrapText="1"/>
    </xf>
    <xf borderId="7" fillId="6" fontId="10" numFmtId="0" xfId="0" applyAlignment="1" applyBorder="1" applyFill="1" applyFont="1">
      <alignment horizontal="center" readingOrder="0" shrinkToFit="0" vertical="center" wrapText="1"/>
    </xf>
    <xf borderId="7" fillId="7" fontId="10" numFmtId="0" xfId="0" applyAlignment="1" applyBorder="1" applyFill="1" applyFont="1">
      <alignment horizontal="center" readingOrder="0" shrinkToFit="0" vertical="center" wrapText="1"/>
    </xf>
    <xf borderId="13" fillId="3" fontId="11" numFmtId="0" xfId="0" applyAlignment="1" applyBorder="1" applyFont="1">
      <alignment horizontal="left" shrinkToFit="0" vertical="center" wrapText="1"/>
    </xf>
    <xf borderId="13" fillId="3" fontId="11" numFmtId="0" xfId="0" applyAlignment="1" applyBorder="1" applyFont="1">
      <alignment horizontal="left" readingOrder="0" shrinkToFit="0" vertical="center" wrapText="1"/>
    </xf>
    <xf borderId="0" fillId="0" fontId="8" numFmtId="0" xfId="0" applyAlignment="1" applyFont="1">
      <alignment vertical="top"/>
    </xf>
    <xf borderId="0" fillId="0" fontId="14" numFmtId="0" xfId="0" applyAlignment="1" applyFont="1">
      <alignment horizontal="left" vertical="top"/>
    </xf>
    <xf borderId="0" fillId="0" fontId="15" numFmtId="0" xfId="0" applyAlignment="1" applyFont="1">
      <alignment horizontal="left" shrinkToFit="0" vertical="top" wrapText="1"/>
    </xf>
    <xf borderId="0" fillId="0" fontId="14" numFmtId="0" xfId="0" applyAlignment="1" applyFont="1">
      <alignment horizontal="left"/>
    </xf>
    <xf borderId="0" fillId="0" fontId="15" numFmtId="15" xfId="0" applyAlignment="1" applyFont="1" applyNumberFormat="1">
      <alignment horizontal="left" shrinkToFit="0" wrapText="1"/>
    </xf>
    <xf borderId="0" fillId="0" fontId="15" numFmtId="0" xfId="0" applyAlignment="1" applyFont="1">
      <alignment horizontal="left" readingOrder="0" shrinkToFit="0" wrapText="1"/>
    </xf>
    <xf borderId="0" fillId="0" fontId="16" numFmtId="0" xfId="0" applyAlignment="1" applyFont="1">
      <alignment horizontal="center" vertical="center"/>
    </xf>
    <xf borderId="7" fillId="8" fontId="14" numFmtId="0" xfId="0" applyAlignment="1" applyBorder="1" applyFill="1" applyFont="1">
      <alignment horizontal="center" vertical="center"/>
    </xf>
    <xf borderId="3" fillId="0" fontId="8" numFmtId="0" xfId="0" applyAlignment="1" applyBorder="1" applyFont="1">
      <alignment horizontal="center" vertical="center"/>
    </xf>
    <xf borderId="7" fillId="0" fontId="8" numFmtId="0" xfId="0" applyAlignment="1" applyBorder="1" applyFont="1">
      <alignment shrinkToFit="0" wrapText="1"/>
    </xf>
    <xf borderId="7" fillId="0" fontId="8" numFmtId="0" xfId="0" applyAlignment="1" applyBorder="1" applyFont="1">
      <alignment horizontal="center" readingOrder="0" vertical="center"/>
    </xf>
    <xf borderId="1" fillId="0" fontId="8" numFmtId="0" xfId="0" applyAlignment="1" applyBorder="1" applyFont="1">
      <alignment horizontal="center" readingOrder="0" vertical="center"/>
    </xf>
    <xf borderId="7" fillId="0" fontId="8" numFmtId="0" xfId="0" applyAlignment="1" applyBorder="1" applyFont="1">
      <alignment horizontal="center" vertical="center"/>
    </xf>
    <xf borderId="1" fillId="0" fontId="8" numFmtId="0" xfId="0" applyAlignment="1" applyBorder="1" applyFont="1">
      <alignment horizontal="center" vertical="center"/>
    </xf>
    <xf borderId="6" fillId="0" fontId="8" numFmtId="0" xfId="0" applyAlignment="1" applyBorder="1" applyFont="1">
      <alignment horizontal="center" vertical="center"/>
    </xf>
    <xf borderId="4" fillId="0" fontId="8" numFmtId="0" xfId="0" applyAlignment="1" applyBorder="1" applyFont="1">
      <alignment shrinkToFit="0" wrapText="1"/>
    </xf>
    <xf borderId="4" fillId="0" fontId="8" numFmtId="0" xfId="0" applyAlignment="1" applyBorder="1" applyFont="1">
      <alignment horizontal="center" vertical="center"/>
    </xf>
    <xf borderId="0" fillId="0" fontId="14" numFmtId="0" xfId="0" applyAlignment="1" applyFont="1">
      <alignment horizontal="left" vertical="center"/>
    </xf>
    <xf borderId="0" fillId="0" fontId="8" numFmtId="0" xfId="0" applyFont="1"/>
    <xf borderId="0" fillId="0" fontId="8" numFmtId="9" xfId="0" applyFont="1" applyNumberFormat="1"/>
    <xf borderId="14" fillId="0" fontId="16" numFmtId="0" xfId="0" applyAlignment="1" applyBorder="1" applyFont="1">
      <alignment horizontal="center" vertical="center"/>
    </xf>
    <xf borderId="14" fillId="0" fontId="5" numFmtId="0" xfId="0" applyBorder="1" applyFont="1"/>
    <xf borderId="10" fillId="0" fontId="14" numFmtId="0" xfId="0" applyAlignment="1" applyBorder="1" applyFont="1">
      <alignment horizontal="center" shrinkToFit="0" vertical="center" wrapText="1"/>
    </xf>
    <xf borderId="8" fillId="0" fontId="14" numFmtId="0" xfId="0" applyAlignment="1" applyBorder="1" applyFont="1">
      <alignment horizontal="center" shrinkToFit="0" vertical="center" wrapText="1"/>
    </xf>
    <xf borderId="8" fillId="0" fontId="10"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0" fillId="0" fontId="17" numFmtId="0" xfId="0" applyAlignment="1" applyFont="1">
      <alignment shrinkToFit="0" wrapText="1"/>
    </xf>
    <xf borderId="3" fillId="0" fontId="8"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18" numFmtId="0" xfId="0" applyAlignment="1" applyBorder="1" applyFont="1">
      <alignment horizontal="center" readingOrder="0" vertical="center"/>
    </xf>
    <xf borderId="5" fillId="0" fontId="8" numFmtId="0" xfId="0" applyAlignment="1" applyBorder="1" applyFont="1">
      <alignment horizontal="center" vertical="center"/>
    </xf>
    <xf borderId="10" fillId="0" fontId="14" numFmtId="0" xfId="0" applyAlignment="1" applyBorder="1" applyFont="1">
      <alignment horizontal="center" vertical="center"/>
    </xf>
    <xf borderId="8" fillId="0" fontId="14" numFmtId="0" xfId="0" applyAlignment="1" applyBorder="1" applyFont="1">
      <alignment horizontal="center" vertical="center"/>
    </xf>
    <xf borderId="8" fillId="0" fontId="10" numFmtId="0" xfId="0" applyAlignment="1" applyBorder="1" applyFont="1">
      <alignment horizontal="center" vertical="center"/>
    </xf>
    <xf borderId="9" fillId="0" fontId="10" numFmtId="0" xfId="0" applyAlignment="1" applyBorder="1" applyFont="1">
      <alignment horizontal="center" vertical="center"/>
    </xf>
    <xf borderId="0" fillId="0" fontId="14" numFmtId="0" xfId="0" applyAlignment="1" applyFont="1">
      <alignment horizontal="center"/>
    </xf>
    <xf borderId="0" fillId="0" fontId="8" numFmtId="0" xfId="0" applyAlignment="1" applyFont="1">
      <alignment readingOrder="0"/>
    </xf>
    <xf borderId="0" fillId="0" fontId="15" numFmtId="0" xfId="0" applyAlignment="1" applyFont="1">
      <alignment horizontal="left" readingOrder="0" shrinkToFit="0" vertical="top" wrapText="1"/>
    </xf>
    <xf borderId="0" fillId="0" fontId="15" numFmtId="15" xfId="0" applyAlignment="1" applyFont="1" applyNumberFormat="1">
      <alignment horizontal="left" readingOrder="0" shrinkToFit="0" wrapText="1"/>
    </xf>
    <xf borderId="12" fillId="8" fontId="15" numFmtId="0" xfId="0" applyAlignment="1" applyBorder="1" applyFont="1">
      <alignment horizontal="center" vertical="center"/>
    </xf>
    <xf borderId="15" fillId="8" fontId="15" numFmtId="0" xfId="0" applyAlignment="1" applyBorder="1" applyFont="1">
      <alignment horizontal="center" vertical="center"/>
    </xf>
    <xf borderId="16" fillId="8" fontId="15" numFmtId="0" xfId="0" applyAlignment="1" applyBorder="1" applyFont="1">
      <alignment horizontal="center" vertical="center"/>
    </xf>
    <xf borderId="7" fillId="0" fontId="8" numFmtId="0" xfId="0" applyAlignment="1" applyBorder="1" applyFont="1">
      <alignment readingOrder="0" shrinkToFit="0" wrapText="1"/>
    </xf>
    <xf borderId="4" fillId="0" fontId="8" numFmtId="0" xfId="0" applyAlignment="1" applyBorder="1" applyFont="1">
      <alignment horizontal="center" readingOrder="0" vertical="center"/>
    </xf>
    <xf borderId="7" fillId="9" fontId="19" numFmtId="0" xfId="0" applyAlignment="1" applyBorder="1" applyFill="1" applyFont="1">
      <alignment horizontal="center" vertical="center"/>
    </xf>
    <xf borderId="4" fillId="0" fontId="8" numFmtId="0" xfId="0" applyAlignment="1" applyBorder="1" applyFont="1">
      <alignment readingOrder="0" shrinkToFit="0" vertical="center" wrapText="1"/>
    </xf>
    <xf borderId="7" fillId="0" fontId="17" numFmtId="0" xfId="0" applyAlignment="1" applyBorder="1" applyFont="1">
      <alignment readingOrder="0" shrinkToFit="0" vertical="center" wrapText="1"/>
    </xf>
    <xf borderId="7" fillId="0" fontId="8" numFmtId="0" xfId="0" applyAlignment="1" applyBorder="1" applyFont="1">
      <alignment horizontal="center" readingOrder="0" shrinkToFit="0" vertical="top" wrapText="1"/>
    </xf>
    <xf borderId="7" fillId="0" fontId="17" numFmtId="0" xfId="0" applyAlignment="1" applyBorder="1" applyFont="1">
      <alignment readingOrder="0" shrinkToFit="0" wrapText="1"/>
    </xf>
    <xf borderId="7" fillId="0" fontId="8" numFmtId="0" xfId="0" applyAlignment="1" applyBorder="1" applyFont="1">
      <alignment vertical="bottom"/>
    </xf>
    <xf borderId="7" fillId="0" fontId="12" numFmtId="0" xfId="0" applyAlignment="1" applyBorder="1" applyFont="1">
      <alignment shrinkToFit="0" vertical="top" wrapText="1"/>
    </xf>
    <xf borderId="7" fillId="0" fontId="12" numFmtId="0" xfId="0" applyAlignment="1" applyBorder="1" applyFont="1">
      <alignment shrinkToFit="0" wrapText="1"/>
    </xf>
    <xf borderId="7" fillId="0" fontId="8" numFmtId="0" xfId="0" applyAlignment="1" applyBorder="1" applyFont="1">
      <alignment shrinkToFit="0" wrapText="1"/>
    </xf>
    <xf borderId="7" fillId="0" fontId="8" numFmtId="0" xfId="0" applyAlignment="1" applyBorder="1" applyFont="1">
      <alignment readingOrder="0" shrinkToFit="0" wrapText="1"/>
    </xf>
    <xf borderId="7" fillId="0" fontId="17" numFmtId="0" xfId="0" applyAlignment="1" applyBorder="1" applyFont="1">
      <alignment readingOrder="0"/>
    </xf>
    <xf borderId="7" fillId="0" fontId="17" numFmtId="0" xfId="0" applyBorder="1" applyFont="1"/>
    <xf borderId="7" fillId="9" fontId="20" numFmtId="0" xfId="0" applyAlignment="1" applyBorder="1" applyFont="1">
      <alignment horizontal="center" readingOrder="0" vertical="center"/>
    </xf>
    <xf borderId="7" fillId="0" fontId="8" numFmtId="0" xfId="0" applyAlignment="1" applyBorder="1" applyFont="1">
      <alignment readingOrder="0" shrinkToFit="0" vertical="top" wrapText="1"/>
    </xf>
  </cellXfs>
  <cellStyles count="1">
    <cellStyle xfId="0" name="Normal" builtinId="0"/>
  </cellStyles>
  <dxfs count="13">
    <dxf>
      <font/>
      <fill>
        <patternFill patternType="solid">
          <fgColor rgb="FFFFC7CE"/>
          <bgColor rgb="FFFFC7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font>
      <fill>
        <patternFill patternType="solid">
          <fgColor rgb="FFFF0000"/>
          <bgColor rgb="FFFF0000"/>
        </patternFill>
      </fill>
      <border/>
    </dxf>
    <dxf>
      <font>
        <color rgb="FFFF0000"/>
      </font>
      <fill>
        <patternFill patternType="none"/>
      </fill>
      <border/>
    </dxf>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9"/>
          <bgColor theme="9"/>
        </patternFill>
      </fill>
      <border/>
    </dxf>
    <dxf>
      <font/>
      <fill>
        <patternFill patternType="solid">
          <fgColor rgb="FFFDE9D9"/>
          <bgColor rgb="FFFDE9D9"/>
        </patternFill>
      </fill>
      <border/>
    </dxf>
  </dxfs>
  <tableStyles count="12">
    <tableStyle count="3" pivot="0" name="MODELO LISTA DE COMPROBACION RF-style">
      <tableStyleElement dxfId="6" type="headerRow"/>
      <tableStyleElement dxfId="7" type="firstRowStripe"/>
      <tableStyleElement dxfId="8" type="secondRowStripe"/>
    </tableStyle>
    <tableStyle count="3" pivot="0" name="MODELO LISTA DE COMPROBACION RF-style 2">
      <tableStyleElement dxfId="9" type="headerRow"/>
      <tableStyleElement dxfId="10" type="firstRowStripe"/>
      <tableStyleElement dxfId="8" type="secondRowStripe"/>
    </tableStyle>
    <tableStyle count="3" pivot="0" name="MODELO LISTA DE COMPROBACION RF-style 3">
      <tableStyleElement dxfId="11" type="headerRow"/>
      <tableStyleElement dxfId="12" type="firstRowStripe"/>
      <tableStyleElement dxfId="8" type="secondRowStripe"/>
    </tableStyle>
    <tableStyle count="3" pivot="0" name="MODELO LISTA DE COMPROBACIÓN RF-style">
      <tableStyleElement dxfId="6" type="headerRow"/>
      <tableStyleElement dxfId="7" type="firstRowStripe"/>
      <tableStyleElement dxfId="8" type="secondRowStripe"/>
    </tableStyle>
    <tableStyle count="3" pivot="0" name="MODELO LISTA DE COMPROBACIÓN RF-style 2">
      <tableStyleElement dxfId="9" type="headerRow"/>
      <tableStyleElement dxfId="10" type="firstRowStripe"/>
      <tableStyleElement dxfId="8" type="secondRowStripe"/>
    </tableStyle>
    <tableStyle count="3" pivot="0" name="MODELO LISTA DE COMPROBACIÓN RF-style 3">
      <tableStyleElement dxfId="11" type="headerRow"/>
      <tableStyleElement dxfId="12" type="firstRowStripe"/>
      <tableStyleElement dxfId="8" type="secondRowStripe"/>
    </tableStyle>
    <tableStyle count="3" pivot="0" name="Hoja 1-style">
      <tableStyleElement dxfId="6" type="headerRow"/>
      <tableStyleElement dxfId="7" type="firstRowStripe"/>
      <tableStyleElement dxfId="8" type="secondRowStripe"/>
    </tableStyle>
    <tableStyle count="3" pivot="0" name="Hoja 1-style 2">
      <tableStyleElement dxfId="9" type="headerRow"/>
      <tableStyleElement dxfId="10" type="firstRowStripe"/>
      <tableStyleElement dxfId="8" type="secondRowStripe"/>
    </tableStyle>
    <tableStyle count="3" pivot="0" name="Hoja 1-style 3">
      <tableStyleElement dxfId="11" type="headerRow"/>
      <tableStyleElement dxfId="12" type="firstRowStripe"/>
      <tableStyleElement dxfId="8" type="secondRowStripe"/>
    </tableStyle>
    <tableStyle count="3" pivot="0" name="MODELO DE LISTA DE COMPROBACION-style">
      <tableStyleElement dxfId="6" type="headerRow"/>
      <tableStyleElement dxfId="7" type="firstRowStripe"/>
      <tableStyleElement dxfId="8" type="secondRowStripe"/>
    </tableStyle>
    <tableStyle count="3" pivot="0" name="MODELO DE LISTA DE COMPROBACION-style 2">
      <tableStyleElement dxfId="9" type="headerRow"/>
      <tableStyleElement dxfId="10" type="firstRowStripe"/>
      <tableStyleElement dxfId="8" type="secondRowStripe"/>
    </tableStyle>
    <tableStyle count="3" pivot="0" name="MODELO DE LISTA DE COMPROBACION-style 3">
      <tableStyleElement dxfId="11" type="headerRow"/>
      <tableStyleElement dxfId="12" type="firstRowStripe"/>
      <tableStyleElement dxfId="8"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RF'!$B$41:$B$43</c:f>
            </c:strRef>
          </c:cat>
          <c:val>
            <c:numRef>
              <c:f>'MODELO LISTA DE COMPROBACION RF'!$C$41:$C$43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COMPROBACIÓN RF'!$B$41:$B$43</c:f>
            </c:strRef>
          </c:cat>
          <c:val>
            <c:numRef>
              <c:f>'MODELO LISTA DE COMPROBACIÓN RF'!$C$41:$C$43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'Hoja 1'!$B$41:$B$43</c:f>
            </c:strRef>
          </c:cat>
          <c:val>
            <c:numRef>
              <c:f>'Hoja 1'!$C$41:$C$43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DE LISTA DE COMPROBACION'!$B$41:$B$43</c:f>
            </c:strRef>
          </c:cat>
          <c:val>
            <c:numRef>
              <c:f>'MODELO DE LISTA DE COMPROBACION'!$C$41:$C$43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214055338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685800</xdr:colOff>
      <xdr:row>29</xdr:row>
      <xdr:rowOff>123825</xdr:rowOff>
    </xdr:from>
    <xdr:ext cx="4286250" cy="2143125"/>
    <xdr:graphicFrame>
      <xdr:nvGraphicFramePr>
        <xdr:cNvPr id="1631639574"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046237559"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616154437"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16" displayName="Table_1" name="Table_1" id="1">
  <tableColumns count="4">
    <tableColumn name="No." id="1"/>
    <tableColumn name="Pregunta" id="2"/>
    <tableColumn name="SI" id="3"/>
    <tableColumn name="NO " id="4"/>
  </tableColumns>
  <tableStyleInfo name="MODELO LISTA DE COMPROBACION RF-style" showColumnStripes="0" showFirstColumn="1" showLastColumn="1" showRowStripes="1"/>
</table>
</file>

<file path=xl/tables/table2.xml><?xml version="1.0" encoding="utf-8"?>
<table xmlns="http://schemas.openxmlformats.org/spreadsheetml/2006/main" ref="A21:D26" displayName="Table_2" name="Table_2" id="2">
  <tableColumns count="4">
    <tableColumn name="No." id="1"/>
    <tableColumn name="Pregunta" id="2"/>
    <tableColumn name="SI" id="3"/>
    <tableColumn name="NO " id="4"/>
  </tableColumns>
  <tableStyleInfo name="MODELO LISTA DE COMPROBACION RF-style 2" showColumnStripes="0" showFirstColumn="1" showLastColumn="1" showRowStripes="1"/>
</table>
</file>

<file path=xl/tables/table3.xml><?xml version="1.0" encoding="utf-8"?>
<table xmlns="http://schemas.openxmlformats.org/spreadsheetml/2006/main" ref="A31:D34" displayName="Table_3" name="Table_3" id="3">
  <tableColumns count="4">
    <tableColumn name="No." id="1"/>
    <tableColumn name="Pregunta" id="2"/>
    <tableColumn name="SI" id="3"/>
    <tableColumn name="NO " id="4"/>
  </tableColumns>
  <tableStyleInfo name="MODELO LISTA DE COMPROBACION RF-style 3" showColumnStripes="0" showFirstColumn="1" showLastColumn="1" showRowStripes="1"/>
</table>
</file>

<file path=xl/tables/table4.xml><?xml version="1.0" encoding="utf-8"?>
<table xmlns="http://schemas.openxmlformats.org/spreadsheetml/2006/main" ref="A7:D16" displayName="Table_4" name="Table_4" id="4">
  <tableColumns count="4">
    <tableColumn name="No." id="1"/>
    <tableColumn name="Pregunta" id="2"/>
    <tableColumn name="SI" id="3"/>
    <tableColumn name="NO " id="4"/>
  </tableColumns>
  <tableStyleInfo name="MODELO LISTA DE COMPROBACIÓN RF-style" showColumnStripes="0" showFirstColumn="1" showLastColumn="1" showRowStripes="1"/>
</table>
</file>

<file path=xl/tables/table5.xml><?xml version="1.0" encoding="utf-8"?>
<table xmlns="http://schemas.openxmlformats.org/spreadsheetml/2006/main" ref="A21:D26" displayName="Table_5" name="Table_5" id="5">
  <tableColumns count="4">
    <tableColumn name="No." id="1"/>
    <tableColumn name="Pregunta" id="2"/>
    <tableColumn name="SI" id="3"/>
    <tableColumn name="NO " id="4"/>
  </tableColumns>
  <tableStyleInfo name="MODELO LISTA DE COMPROBACIÓN RF-style 2" showColumnStripes="0" showFirstColumn="1" showLastColumn="1" showRowStripes="1"/>
</table>
</file>

<file path=xl/tables/table6.xml><?xml version="1.0" encoding="utf-8"?>
<table xmlns="http://schemas.openxmlformats.org/spreadsheetml/2006/main" ref="A31:D34" displayName="Table_6" name="Table_6" id="6">
  <tableColumns count="4">
    <tableColumn name="No." id="1"/>
    <tableColumn name="Pregunta" id="2"/>
    <tableColumn name="SI" id="3"/>
    <tableColumn name="NO " id="4"/>
  </tableColumns>
  <tableStyleInfo name="MODELO LISTA DE COMPROBACIÓN RF-style 3" showColumnStripes="0" showFirstColumn="1" showLastColumn="1" showRowStripes="1"/>
</table>
</file>

<file path=xl/tables/table7.xml><?xml version="1.0" encoding="utf-8"?>
<table xmlns="http://schemas.openxmlformats.org/spreadsheetml/2006/main" ref="A7:D16" displayName="Table_7" name="Table_7" id="7">
  <tableColumns count="4">
    <tableColumn name="No." id="1"/>
    <tableColumn name="Pregunta" id="2"/>
    <tableColumn name="SI" id="3"/>
    <tableColumn name="NO " id="4"/>
  </tableColumns>
  <tableStyleInfo name="Hoja 1-style" showColumnStripes="0" showFirstColumn="1" showLastColumn="1" showRowStripes="1"/>
</table>
</file>

<file path=xl/tables/table8.xml><?xml version="1.0" encoding="utf-8"?>
<table xmlns="http://schemas.openxmlformats.org/spreadsheetml/2006/main" ref="A21:D26" displayName="Table_8" name="Table_8" id="8">
  <tableColumns count="4">
    <tableColumn name="No." id="1"/>
    <tableColumn name="Pregunta" id="2"/>
    <tableColumn name="SI" id="3"/>
    <tableColumn name="NO " id="4"/>
  </tableColumns>
  <tableStyleInfo name="Hoja 1-style 2" showColumnStripes="0" showFirstColumn="1" showLastColumn="1" showRowStripes="1"/>
</table>
</file>

<file path=xl/tables/table9.xml><?xml version="1.0" encoding="utf-8"?>
<table xmlns="http://schemas.openxmlformats.org/spreadsheetml/2006/main" ref="A31:D34" displayName="Table_9" name="Table_9" id="9">
  <tableColumns count="4">
    <tableColumn name="No." id="1"/>
    <tableColumn name="Pregunta" id="2"/>
    <tableColumn name="SI" id="3"/>
    <tableColumn name="NO " id="4"/>
  </tableColumns>
  <tableStyleInfo name="Hoja 1-style 3" showColumnStripes="0" showFirstColumn="1" showLastColumn="1" showRowStripes="1"/>
</table>
</file>

<file path=xl/tables/table10.xml><?xml version="1.0" encoding="utf-8"?>
<table xmlns="http://schemas.openxmlformats.org/spreadsheetml/2006/main" ref="A7:D16" displayName="Table_10" name="Table_10" id="10">
  <tableColumns count="4">
    <tableColumn name="No." id="1"/>
    <tableColumn name="Pregunta" id="2"/>
    <tableColumn name="SI" id="3"/>
    <tableColumn name="NO " id="4"/>
  </tableColumns>
  <tableStyleInfo name="MODELO DE LISTA DE COMPROBACION-style" showColumnStripes="0" showFirstColumn="1" showLastColumn="1" showRowStripes="1"/>
</table>
</file>

<file path=xl/tables/table11.xml><?xml version="1.0" encoding="utf-8"?>
<table xmlns="http://schemas.openxmlformats.org/spreadsheetml/2006/main" ref="A21:D26" displayName="Table_11" name="Table_11" id="11">
  <tableColumns count="4">
    <tableColumn name="No." id="1"/>
    <tableColumn name="Pregunta" id="2"/>
    <tableColumn name="SI" id="3"/>
    <tableColumn name="NO " id="4"/>
  </tableColumns>
  <tableStyleInfo name="MODELO DE LISTA DE COMPROBACION-style 2" showColumnStripes="0" showFirstColumn="1" showLastColumn="1" showRowStripes="1"/>
</table>
</file>

<file path=xl/tables/table12.xml><?xml version="1.0" encoding="utf-8"?>
<table xmlns="http://schemas.openxmlformats.org/spreadsheetml/2006/main" ref="A31:D34" displayName="Table_12" name="Table_12" id="12">
  <tableColumns count="4">
    <tableColumn name="No." id="1"/>
    <tableColumn name="Pregunta" id="2"/>
    <tableColumn name="SI" id="3"/>
    <tableColumn name="NO " id="4"/>
  </tableColumns>
  <tableStyleInfo name="MODELO DE LISTA DE COMPROBACION-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9" Type="http://schemas.openxmlformats.org/officeDocument/2006/relationships/table" Target="../tables/table9.xml"/><Relationship Id="rId7" Type="http://schemas.openxmlformats.org/officeDocument/2006/relationships/table" Target="../tables/table7.xml"/><Relationship Id="rId8"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39.57"/>
    <col customWidth="1" min="13" max="13" width="49.57"/>
  </cols>
  <sheetData>
    <row r="1" ht="14.25" customHeight="1">
      <c r="C1" s="1"/>
    </row>
    <row r="2" ht="14.25" customHeight="1">
      <c r="C2" s="1"/>
    </row>
    <row r="3" ht="30.0" customHeight="1">
      <c r="C3" s="2" t="s">
        <v>0</v>
      </c>
    </row>
    <row r="4" ht="30.0" customHeight="1"/>
    <row r="5" ht="30.0" customHeight="1">
      <c r="C5" s="2"/>
      <c r="D5" s="3" t="s">
        <v>1</v>
      </c>
      <c r="E5" s="4" t="s">
        <v>2</v>
      </c>
    </row>
    <row r="6" ht="55.5" customHeight="1">
      <c r="C6" s="1"/>
      <c r="F6" s="5" t="s">
        <v>3</v>
      </c>
      <c r="G6" s="6"/>
      <c r="H6" s="6"/>
      <c r="I6" s="6"/>
      <c r="J6" s="6"/>
      <c r="K6" s="6"/>
      <c r="L6" s="6"/>
      <c r="M6" s="7"/>
    </row>
    <row r="7" ht="45.0" customHeight="1">
      <c r="B7" s="8" t="s">
        <v>4</v>
      </c>
      <c r="C7" s="9" t="s">
        <v>5</v>
      </c>
      <c r="D7" s="10"/>
      <c r="E7" s="11" t="s">
        <v>6</v>
      </c>
      <c r="F7" s="12" t="s">
        <v>7</v>
      </c>
      <c r="G7" s="11" t="s">
        <v>6</v>
      </c>
      <c r="H7" s="13">
        <v>100.0</v>
      </c>
      <c r="I7" s="12" t="s">
        <v>8</v>
      </c>
      <c r="J7" s="11" t="s">
        <v>6</v>
      </c>
      <c r="K7" s="12" t="s">
        <v>9</v>
      </c>
      <c r="L7" s="11" t="s">
        <v>6</v>
      </c>
      <c r="M7" s="12" t="s">
        <v>10</v>
      </c>
    </row>
    <row r="8" ht="60.0" customHeight="1">
      <c r="B8" s="14"/>
      <c r="C8" s="15"/>
      <c r="D8" s="16"/>
      <c r="E8" s="14"/>
      <c r="F8" s="14"/>
      <c r="G8" s="14"/>
      <c r="H8" s="13">
        <v>0.0</v>
      </c>
      <c r="I8" s="14"/>
      <c r="J8" s="14"/>
      <c r="K8" s="14"/>
      <c r="L8" s="14"/>
      <c r="M8" s="14"/>
    </row>
    <row r="9">
      <c r="B9" s="17">
        <v>1.0</v>
      </c>
      <c r="C9" s="18" t="s">
        <v>11</v>
      </c>
      <c r="D9" s="7"/>
      <c r="E9" s="19" t="s">
        <v>12</v>
      </c>
      <c r="F9" s="20" t="s">
        <v>13</v>
      </c>
      <c r="G9" s="21" t="s">
        <v>12</v>
      </c>
      <c r="H9" s="22">
        <v>1.0</v>
      </c>
      <c r="I9" s="20" t="s">
        <v>14</v>
      </c>
      <c r="J9" s="21" t="s">
        <v>12</v>
      </c>
      <c r="K9" s="23" t="s">
        <v>15</v>
      </c>
      <c r="L9" s="19" t="s">
        <v>12</v>
      </c>
      <c r="M9" s="20" t="s">
        <v>16</v>
      </c>
    </row>
    <row r="10" ht="69.75" customHeight="1">
      <c r="B10" s="17">
        <v>2.0</v>
      </c>
      <c r="C10" s="18" t="s">
        <v>17</v>
      </c>
      <c r="D10" s="7"/>
      <c r="E10" s="24" t="s">
        <v>18</v>
      </c>
      <c r="F10" s="25" t="s">
        <v>19</v>
      </c>
      <c r="G10" s="24" t="s">
        <v>18</v>
      </c>
      <c r="I10" s="25" t="s">
        <v>20</v>
      </c>
      <c r="J10" s="24" t="s">
        <v>18</v>
      </c>
      <c r="K10" s="25" t="s">
        <v>21</v>
      </c>
      <c r="L10" s="21" t="s">
        <v>12</v>
      </c>
      <c r="M10" s="25" t="s">
        <v>22</v>
      </c>
    </row>
    <row r="11">
      <c r="B11" s="17">
        <v>3.0</v>
      </c>
      <c r="C11" s="18" t="s">
        <v>23</v>
      </c>
      <c r="D11" s="7"/>
      <c r="E11" s="19" t="s">
        <v>12</v>
      </c>
      <c r="F11" s="26" t="s">
        <v>24</v>
      </c>
      <c r="G11" s="21" t="s">
        <v>12</v>
      </c>
      <c r="I11" s="25" t="s">
        <v>25</v>
      </c>
      <c r="J11" s="21" t="s">
        <v>12</v>
      </c>
      <c r="K11" s="26" t="s">
        <v>24</v>
      </c>
      <c r="L11" s="21" t="s">
        <v>12</v>
      </c>
      <c r="M11" s="25" t="s">
        <v>26</v>
      </c>
    </row>
    <row r="12">
      <c r="B12" s="17">
        <v>4.0</v>
      </c>
      <c r="C12" s="18" t="s">
        <v>27</v>
      </c>
      <c r="D12" s="7"/>
      <c r="E12" s="24" t="s">
        <v>18</v>
      </c>
      <c r="F12" s="27" t="s">
        <v>28</v>
      </c>
      <c r="G12" s="28" t="s">
        <v>18</v>
      </c>
      <c r="I12" s="29" t="s">
        <v>29</v>
      </c>
      <c r="J12" s="24" t="s">
        <v>18</v>
      </c>
      <c r="K12" s="27" t="s">
        <v>30</v>
      </c>
      <c r="L12" s="28" t="s">
        <v>18</v>
      </c>
      <c r="M12" s="29" t="s">
        <v>31</v>
      </c>
    </row>
    <row r="13">
      <c r="B13" s="17">
        <v>5.0</v>
      </c>
      <c r="C13" s="18" t="s">
        <v>32</v>
      </c>
      <c r="D13" s="7"/>
      <c r="E13" s="19" t="s">
        <v>12</v>
      </c>
      <c r="F13" s="27" t="s">
        <v>33</v>
      </c>
      <c r="G13" s="21" t="s">
        <v>12</v>
      </c>
      <c r="I13" s="29" t="s">
        <v>34</v>
      </c>
      <c r="J13" s="21" t="s">
        <v>12</v>
      </c>
      <c r="K13" s="27" t="s">
        <v>33</v>
      </c>
      <c r="L13" s="19" t="s">
        <v>12</v>
      </c>
      <c r="M13" s="29" t="s">
        <v>35</v>
      </c>
    </row>
    <row r="14">
      <c r="B14" s="17">
        <v>6.0</v>
      </c>
      <c r="C14" s="30" t="s">
        <v>36</v>
      </c>
      <c r="D14" s="7"/>
      <c r="E14" s="19" t="s">
        <v>12</v>
      </c>
      <c r="F14" s="29" t="s">
        <v>37</v>
      </c>
      <c r="G14" s="21" t="s">
        <v>12</v>
      </c>
      <c r="I14" s="29" t="s">
        <v>38</v>
      </c>
      <c r="J14" s="31" t="s">
        <v>12</v>
      </c>
      <c r="K14" s="29" t="s">
        <v>39</v>
      </c>
      <c r="L14" s="21" t="s">
        <v>12</v>
      </c>
      <c r="M14" s="29" t="s">
        <v>40</v>
      </c>
    </row>
    <row r="15">
      <c r="B15" s="17">
        <v>7.0</v>
      </c>
      <c r="C15" s="30" t="s">
        <v>41</v>
      </c>
      <c r="D15" s="7"/>
      <c r="E15" s="28" t="s">
        <v>18</v>
      </c>
      <c r="F15" s="29" t="s">
        <v>42</v>
      </c>
      <c r="G15" s="28" t="s">
        <v>18</v>
      </c>
      <c r="I15" s="29" t="s">
        <v>43</v>
      </c>
      <c r="J15" s="31" t="s">
        <v>12</v>
      </c>
      <c r="K15" s="29" t="s">
        <v>44</v>
      </c>
      <c r="L15" s="28" t="s">
        <v>18</v>
      </c>
      <c r="M15" s="29" t="s">
        <v>45</v>
      </c>
    </row>
    <row r="16">
      <c r="B16" s="17">
        <v>8.0</v>
      </c>
      <c r="C16" s="18" t="s">
        <v>46</v>
      </c>
      <c r="D16" s="7"/>
      <c r="E16" s="28" t="s">
        <v>18</v>
      </c>
      <c r="F16" s="29" t="s">
        <v>47</v>
      </c>
      <c r="G16" s="21" t="s">
        <v>12</v>
      </c>
      <c r="I16" s="29" t="s">
        <v>48</v>
      </c>
      <c r="J16" s="32" t="s">
        <v>12</v>
      </c>
      <c r="K16" s="29" t="s">
        <v>49</v>
      </c>
      <c r="L16" s="21" t="s">
        <v>12</v>
      </c>
      <c r="M16" s="29" t="s">
        <v>50</v>
      </c>
    </row>
    <row r="17">
      <c r="B17" s="17">
        <v>9.0</v>
      </c>
      <c r="C17" s="18" t="s">
        <v>51</v>
      </c>
      <c r="D17" s="7"/>
      <c r="E17" s="19" t="s">
        <v>12</v>
      </c>
      <c r="F17" s="33" t="s">
        <v>52</v>
      </c>
      <c r="G17" s="21" t="s">
        <v>12</v>
      </c>
      <c r="I17" s="34" t="s">
        <v>53</v>
      </c>
      <c r="J17" s="21" t="s">
        <v>12</v>
      </c>
      <c r="K17" s="34" t="s">
        <v>54</v>
      </c>
      <c r="L17" s="19" t="s">
        <v>12</v>
      </c>
      <c r="M17" s="34" t="s">
        <v>55</v>
      </c>
    </row>
    <row r="18">
      <c r="B18" s="17">
        <v>10.0</v>
      </c>
      <c r="C18" s="18" t="s">
        <v>56</v>
      </c>
      <c r="D18" s="7"/>
      <c r="E18" s="19" t="s">
        <v>12</v>
      </c>
      <c r="F18" s="27" t="s">
        <v>57</v>
      </c>
      <c r="G18" s="21" t="s">
        <v>12</v>
      </c>
      <c r="I18" s="29" t="s">
        <v>58</v>
      </c>
      <c r="J18" s="21" t="s">
        <v>18</v>
      </c>
      <c r="K18" s="29" t="s">
        <v>59</v>
      </c>
      <c r="L18" s="19" t="s">
        <v>12</v>
      </c>
      <c r="M18" s="29" t="s">
        <v>60</v>
      </c>
    </row>
    <row r="19">
      <c r="B19" s="17">
        <v>11.0</v>
      </c>
      <c r="C19" s="18" t="s">
        <v>61</v>
      </c>
      <c r="D19" s="7"/>
      <c r="E19" s="19" t="s">
        <v>12</v>
      </c>
      <c r="F19" s="27" t="s">
        <v>62</v>
      </c>
      <c r="G19" s="21" t="s">
        <v>12</v>
      </c>
      <c r="I19" s="29" t="s">
        <v>63</v>
      </c>
      <c r="J19" s="24" t="s">
        <v>18</v>
      </c>
      <c r="K19" s="29" t="s">
        <v>64</v>
      </c>
      <c r="L19" s="19" t="s">
        <v>12</v>
      </c>
      <c r="M19" s="29" t="s">
        <v>65</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G7:G8"/>
    <mergeCell ref="I7:I8"/>
    <mergeCell ref="J7:J8"/>
    <mergeCell ref="K7:K8"/>
    <mergeCell ref="L7:L8"/>
    <mergeCell ref="M7:M8"/>
    <mergeCell ref="C3:K4"/>
    <mergeCell ref="E5:K5"/>
    <mergeCell ref="F6:M6"/>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bottom="0.7480314960629921" footer="0.0" header="0.0" left="0.47" right="0.7086614173228347" top="0.7480314960629921"/>
  <pageSetup paperSize="14"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3.29"/>
    <col customWidth="1" min="3" max="3" width="16.14"/>
    <col customWidth="1" min="4" max="24" width="10.71"/>
  </cols>
  <sheetData>
    <row r="1" ht="51.0" customHeight="1">
      <c r="A1" s="35"/>
      <c r="B1" s="36" t="s">
        <v>1</v>
      </c>
      <c r="C1" s="37" t="s">
        <v>66</v>
      </c>
      <c r="E1" s="35"/>
      <c r="F1" s="35"/>
      <c r="G1" s="35"/>
      <c r="H1" s="35"/>
      <c r="I1" s="35"/>
      <c r="J1" s="35"/>
      <c r="K1" s="35"/>
      <c r="L1" s="35"/>
      <c r="M1" s="35"/>
      <c r="N1" s="35"/>
      <c r="O1" s="35"/>
      <c r="P1" s="35"/>
      <c r="Q1" s="35"/>
      <c r="R1" s="35"/>
      <c r="S1" s="35"/>
      <c r="T1" s="35"/>
      <c r="U1" s="35"/>
      <c r="V1" s="35"/>
      <c r="W1" s="35"/>
      <c r="X1" s="35"/>
      <c r="Y1" s="35"/>
      <c r="Z1" s="35"/>
    </row>
    <row r="2" ht="14.25" customHeight="1">
      <c r="B2" s="38" t="s">
        <v>67</v>
      </c>
      <c r="C2" s="39">
        <v>45777.0</v>
      </c>
    </row>
    <row r="3" ht="14.25" customHeight="1">
      <c r="B3" s="38" t="s">
        <v>68</v>
      </c>
      <c r="C3" s="40" t="s">
        <v>69</v>
      </c>
    </row>
    <row r="4" ht="31.5" customHeight="1">
      <c r="B4" s="38" t="s">
        <v>70</v>
      </c>
      <c r="C4" s="40" t="s">
        <v>71</v>
      </c>
    </row>
    <row r="5" ht="14.25" customHeight="1"/>
    <row r="6" ht="21.0" customHeight="1">
      <c r="A6" s="41" t="s">
        <v>72</v>
      </c>
    </row>
    <row r="7" ht="21.0" customHeight="1">
      <c r="A7" s="42" t="s">
        <v>73</v>
      </c>
      <c r="B7" s="42" t="s">
        <v>74</v>
      </c>
      <c r="C7" s="42" t="s">
        <v>75</v>
      </c>
      <c r="D7" s="42" t="s">
        <v>76</v>
      </c>
    </row>
    <row r="8" ht="27.0" customHeight="1">
      <c r="A8" s="43">
        <v>1.0</v>
      </c>
      <c r="B8" s="44" t="s">
        <v>77</v>
      </c>
      <c r="C8" s="45" t="s">
        <v>78</v>
      </c>
      <c r="D8" s="46"/>
    </row>
    <row r="9" ht="27.75" customHeight="1">
      <c r="A9" s="43">
        <v>2.0</v>
      </c>
      <c r="B9" s="44" t="s">
        <v>79</v>
      </c>
      <c r="C9" s="47" t="s">
        <v>78</v>
      </c>
      <c r="D9" s="48"/>
    </row>
    <row r="10" ht="40.5" customHeight="1">
      <c r="A10" s="43">
        <v>3.0</v>
      </c>
      <c r="B10" s="44" t="s">
        <v>80</v>
      </c>
      <c r="C10" s="47" t="s">
        <v>78</v>
      </c>
      <c r="D10" s="48"/>
    </row>
    <row r="11" ht="27.0" customHeight="1">
      <c r="A11" s="43">
        <v>4.0</v>
      </c>
      <c r="B11" s="44" t="s">
        <v>81</v>
      </c>
      <c r="C11" s="47" t="s">
        <v>78</v>
      </c>
      <c r="D11" s="48"/>
    </row>
    <row r="12">
      <c r="A12" s="43">
        <v>5.0</v>
      </c>
      <c r="B12" s="44" t="s">
        <v>82</v>
      </c>
      <c r="C12" s="47" t="s">
        <v>78</v>
      </c>
      <c r="D12" s="48"/>
    </row>
    <row r="13" ht="30.75" customHeight="1">
      <c r="A13" s="43">
        <v>6.0</v>
      </c>
      <c r="B13" s="44" t="s">
        <v>83</v>
      </c>
      <c r="C13" s="47" t="s">
        <v>78</v>
      </c>
      <c r="D13" s="48"/>
    </row>
    <row r="14" ht="24.0" customHeight="1">
      <c r="A14" s="43">
        <v>7.0</v>
      </c>
      <c r="B14" s="44" t="s">
        <v>84</v>
      </c>
      <c r="C14" s="47" t="s">
        <v>78</v>
      </c>
      <c r="D14" s="48"/>
    </row>
    <row r="15" ht="39.75" customHeight="1">
      <c r="A15" s="43">
        <v>8.0</v>
      </c>
      <c r="B15" s="44" t="s">
        <v>85</v>
      </c>
      <c r="C15" s="47" t="s">
        <v>78</v>
      </c>
      <c r="D15" s="48"/>
    </row>
    <row r="16" ht="56.25" customHeight="1">
      <c r="A16" s="49">
        <v>9.0</v>
      </c>
      <c r="B16" s="50" t="s">
        <v>86</v>
      </c>
      <c r="C16" s="51"/>
      <c r="D16" s="51" t="s">
        <v>78</v>
      </c>
    </row>
    <row r="17" ht="14.25" customHeight="1">
      <c r="A17" s="52" t="s">
        <v>87</v>
      </c>
      <c r="C17" s="53">
        <f>COUNTA('MODELO LISTA DE COMPROBACION RF'!$C$8:$C$16)</f>
        <v>8</v>
      </c>
      <c r="D17" s="53">
        <f>COUNTA('MODELO LISTA DE COMPROBACION RF'!$D$8:$D$16)</f>
        <v>1</v>
      </c>
    </row>
    <row r="18" ht="14.25" customHeight="1">
      <c r="A18" s="52" t="s">
        <v>88</v>
      </c>
      <c r="C18" s="54">
        <f t="shared" ref="C18:D18" si="1">C17/9</f>
        <v>0.8888888889</v>
      </c>
      <c r="D18" s="54">
        <f t="shared" si="1"/>
        <v>0.1111111111</v>
      </c>
    </row>
    <row r="19" ht="14.25" customHeight="1">
      <c r="A19" s="52"/>
      <c r="B19" s="52"/>
      <c r="C19" s="54"/>
      <c r="D19" s="53"/>
    </row>
    <row r="20" ht="23.25" customHeight="1">
      <c r="A20" s="55" t="s">
        <v>89</v>
      </c>
      <c r="B20" s="56"/>
      <c r="C20" s="56"/>
      <c r="D20" s="56"/>
    </row>
    <row r="21" ht="18.75" customHeight="1">
      <c r="A21" s="57" t="s">
        <v>73</v>
      </c>
      <c r="B21" s="58" t="s">
        <v>74</v>
      </c>
      <c r="C21" s="59" t="s">
        <v>75</v>
      </c>
      <c r="D21" s="60" t="s">
        <v>76</v>
      </c>
      <c r="E21" s="61"/>
      <c r="F21" s="61"/>
      <c r="G21" s="61"/>
      <c r="H21" s="61"/>
      <c r="I21" s="61"/>
      <c r="J21" s="61"/>
      <c r="K21" s="61"/>
      <c r="L21" s="61"/>
      <c r="M21" s="61"/>
      <c r="N21" s="61"/>
      <c r="O21" s="61"/>
      <c r="P21" s="61"/>
      <c r="Q21" s="61"/>
      <c r="R21" s="61"/>
      <c r="S21" s="61"/>
      <c r="T21" s="61"/>
      <c r="U21" s="61"/>
      <c r="V21" s="61"/>
      <c r="W21" s="61"/>
      <c r="X21" s="61"/>
      <c r="Y21" s="61"/>
      <c r="Z21" s="61"/>
    </row>
    <row r="22" ht="30.0" customHeight="1">
      <c r="A22" s="62">
        <v>1.0</v>
      </c>
      <c r="B22" s="44" t="s">
        <v>90</v>
      </c>
      <c r="C22" s="63" t="s">
        <v>78</v>
      </c>
      <c r="D22" s="64"/>
      <c r="E22" s="61"/>
      <c r="F22" s="61"/>
      <c r="G22" s="61"/>
      <c r="H22" s="61"/>
      <c r="I22" s="61"/>
      <c r="J22" s="61"/>
      <c r="K22" s="61"/>
      <c r="L22" s="61"/>
      <c r="M22" s="61"/>
      <c r="N22" s="61"/>
      <c r="O22" s="61"/>
      <c r="P22" s="61"/>
      <c r="Q22" s="61"/>
      <c r="R22" s="61"/>
      <c r="S22" s="61"/>
      <c r="T22" s="61"/>
      <c r="U22" s="61"/>
      <c r="V22" s="61"/>
      <c r="W22" s="61"/>
      <c r="X22" s="61"/>
      <c r="Y22" s="61"/>
      <c r="Z22" s="61"/>
    </row>
    <row r="23" ht="27.0" customHeight="1">
      <c r="A23" s="43">
        <v>2.0</v>
      </c>
      <c r="B23" s="44" t="s">
        <v>91</v>
      </c>
      <c r="C23" s="51" t="s">
        <v>78</v>
      </c>
      <c r="D23" s="48"/>
    </row>
    <row r="24" ht="30.0" customHeight="1">
      <c r="A24" s="43">
        <v>3.0</v>
      </c>
      <c r="B24" s="44" t="s">
        <v>92</v>
      </c>
      <c r="C24" s="51" t="s">
        <v>78</v>
      </c>
      <c r="D24" s="48"/>
    </row>
    <row r="25" ht="27.0" customHeight="1">
      <c r="A25" s="43">
        <v>4.0</v>
      </c>
      <c r="B25" s="44" t="s">
        <v>93</v>
      </c>
      <c r="C25" s="51"/>
      <c r="D25" s="65" t="s">
        <v>78</v>
      </c>
    </row>
    <row r="26" ht="28.5" customHeight="1">
      <c r="A26" s="49">
        <v>5.0</v>
      </c>
      <c r="B26" s="50" t="s">
        <v>94</v>
      </c>
      <c r="C26" s="51" t="s">
        <v>78</v>
      </c>
      <c r="D26" s="66"/>
    </row>
    <row r="27" ht="14.25" customHeight="1">
      <c r="A27" s="52" t="s">
        <v>87</v>
      </c>
      <c r="C27" s="53">
        <f>COUNTA('MODELO LISTA DE COMPROBACION RF'!$C$22:$C$26)</f>
        <v>4</v>
      </c>
      <c r="D27" s="53">
        <f>COUNTA('MODELO LISTA DE COMPROBACION RF'!$D$22:$D$26)</f>
        <v>1</v>
      </c>
    </row>
    <row r="28" ht="14.25" customHeight="1">
      <c r="A28" s="52" t="s">
        <v>88</v>
      </c>
      <c r="C28" s="54">
        <f t="shared" ref="C28:D28" si="2">C27/5</f>
        <v>0.8</v>
      </c>
      <c r="D28" s="54">
        <f t="shared" si="2"/>
        <v>0.2</v>
      </c>
    </row>
    <row r="29" ht="14.25" customHeight="1">
      <c r="A29" s="52"/>
      <c r="B29" s="52"/>
      <c r="C29" s="54"/>
      <c r="D29" s="53"/>
    </row>
    <row r="30" ht="25.5" customHeight="1">
      <c r="A30" s="41" t="s">
        <v>95</v>
      </c>
    </row>
    <row r="31" ht="19.5" customHeight="1">
      <c r="A31" s="67" t="s">
        <v>73</v>
      </c>
      <c r="B31" s="68" t="s">
        <v>74</v>
      </c>
      <c r="C31" s="69" t="s">
        <v>75</v>
      </c>
      <c r="D31" s="70" t="s">
        <v>76</v>
      </c>
    </row>
    <row r="32" ht="25.5" customHeight="1">
      <c r="A32" s="43">
        <v>1.0</v>
      </c>
      <c r="B32" s="44" t="s">
        <v>96</v>
      </c>
      <c r="C32" s="51" t="s">
        <v>78</v>
      </c>
      <c r="D32" s="51"/>
    </row>
    <row r="33" ht="28.5" customHeight="1">
      <c r="A33" s="43">
        <v>2.0</v>
      </c>
      <c r="B33" s="44" t="s">
        <v>97</v>
      </c>
      <c r="C33" s="51" t="s">
        <v>78</v>
      </c>
      <c r="D33" s="51"/>
    </row>
    <row r="34" ht="30.75" customHeight="1">
      <c r="A34" s="49">
        <v>3.0</v>
      </c>
      <c r="B34" s="50" t="s">
        <v>98</v>
      </c>
      <c r="C34" s="51" t="s">
        <v>78</v>
      </c>
      <c r="D34" s="51"/>
    </row>
    <row r="35" ht="14.25" customHeight="1">
      <c r="A35" s="52" t="s">
        <v>87</v>
      </c>
      <c r="C35" s="22">
        <f>COUNTA('MODELO LISTA DE COMPROBACION RF'!$C$32:$C$34)</f>
        <v>3</v>
      </c>
      <c r="D35" s="22">
        <f>COUNTA('MODELO LISTA DE COMPROBACION RF'!$D$32:$D$34)</f>
        <v>0</v>
      </c>
    </row>
    <row r="36" ht="14.25" customHeight="1">
      <c r="A36" s="52" t="s">
        <v>88</v>
      </c>
      <c r="C36" s="54">
        <f t="shared" ref="C36:D36" si="3">C35/3</f>
        <v>1</v>
      </c>
      <c r="D36" s="54">
        <f t="shared" si="3"/>
        <v>0</v>
      </c>
    </row>
    <row r="37" ht="14.25" customHeight="1"/>
    <row r="38" ht="14.25" customHeight="1"/>
    <row r="39" ht="14.25" customHeight="1"/>
    <row r="40" ht="14.25" customHeight="1">
      <c r="A40" s="71" t="s">
        <v>99</v>
      </c>
    </row>
    <row r="41" ht="30.0" customHeight="1">
      <c r="B41" s="35" t="s">
        <v>100</v>
      </c>
      <c r="C41" s="72">
        <v>89.0</v>
      </c>
    </row>
    <row r="42" ht="30.0" customHeight="1">
      <c r="B42" s="35" t="s">
        <v>89</v>
      </c>
      <c r="C42" s="72">
        <v>80.0</v>
      </c>
    </row>
    <row r="43" ht="30.0" customHeight="1">
      <c r="B43" s="35" t="s">
        <v>95</v>
      </c>
      <c r="C43" s="53">
        <v>100.0</v>
      </c>
    </row>
    <row r="44" ht="14.25" customHeight="1">
      <c r="C44" s="53"/>
    </row>
    <row r="45" ht="14.25" customHeight="1">
      <c r="C45" s="53"/>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0" priority="1" operator="containsText" text="X">
      <formula>NOT(ISERROR(SEARCH(("X"),(A32))))</formula>
    </cfRule>
  </conditionalFormatting>
  <conditionalFormatting sqref="C8:D16 C22:C26 C32:D34">
    <cfRule type="containsText" dxfId="1" priority="2" operator="containsText" text="X">
      <formula>NOT(ISERROR(SEARCH(("X"),(C8))))</formula>
    </cfRule>
  </conditionalFormatting>
  <conditionalFormatting sqref="C8:D16 C22:C26 C32:D34">
    <cfRule type="containsText" dxfId="2" priority="3" operator="containsText" text="X">
      <formula>NOT(ISERROR(SEARCH(("X"),(C8))))</formula>
    </cfRule>
  </conditionalFormatting>
  <conditionalFormatting sqref="C8:D16 C22:C26 C32:D34">
    <cfRule type="containsText" dxfId="3" priority="4" operator="containsText" text="X">
      <formula>NOT(ISERROR(SEARCH(("X"),(C8))))</formula>
    </cfRule>
  </conditionalFormatting>
  <conditionalFormatting sqref="C8:D16 C22:C26 C32:D34">
    <cfRule type="containsText" dxfId="4" priority="5" operator="containsText" text="X">
      <formula>NOT(ISERROR(SEARCH(("X"),(C8))))</formula>
    </cfRule>
  </conditionalFormatting>
  <conditionalFormatting sqref="C22:D26">
    <cfRule type="containsText" dxfId="1" priority="6" operator="containsText" text="X">
      <formula>NOT(ISERROR(SEARCH(("X"),(C22))))</formula>
    </cfRule>
  </conditionalFormatting>
  <conditionalFormatting sqref="C22:D26">
    <cfRule type="containsText" dxfId="2" priority="7" operator="containsText" text="X">
      <formula>NOT(ISERROR(SEARCH(("X"),(C22))))</formula>
    </cfRule>
  </conditionalFormatting>
  <conditionalFormatting sqref="C32:D34">
    <cfRule type="containsText" dxfId="1" priority="8" operator="containsText" text="X">
      <formula>NOT(ISERROR(SEARCH(("X"),(C32))))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64.57"/>
    <col customWidth="1" min="3" max="3" width="16.14"/>
    <col customWidth="1" min="4" max="24" width="10.71"/>
  </cols>
  <sheetData>
    <row r="1" ht="51.0" customHeight="1">
      <c r="A1" s="35"/>
      <c r="B1" s="36" t="s">
        <v>1</v>
      </c>
      <c r="C1" s="73" t="s">
        <v>2</v>
      </c>
      <c r="E1" s="35"/>
      <c r="F1" s="35"/>
      <c r="G1" s="35"/>
      <c r="H1" s="35"/>
      <c r="I1" s="35"/>
      <c r="J1" s="35"/>
      <c r="K1" s="35"/>
      <c r="L1" s="35"/>
      <c r="M1" s="35"/>
      <c r="N1" s="35"/>
      <c r="O1" s="35"/>
      <c r="P1" s="35"/>
      <c r="Q1" s="35"/>
      <c r="R1" s="35"/>
      <c r="S1" s="35"/>
      <c r="T1" s="35"/>
      <c r="U1" s="35"/>
      <c r="V1" s="35"/>
      <c r="W1" s="35"/>
      <c r="X1" s="35"/>
      <c r="Y1" s="35"/>
      <c r="Z1" s="35"/>
    </row>
    <row r="2" ht="14.25" customHeight="1">
      <c r="B2" s="38" t="s">
        <v>67</v>
      </c>
      <c r="C2" s="74">
        <v>45951.0</v>
      </c>
    </row>
    <row r="3" ht="14.25" customHeight="1">
      <c r="B3" s="38" t="s">
        <v>68</v>
      </c>
      <c r="C3" s="40" t="s">
        <v>101</v>
      </c>
    </row>
    <row r="4" ht="14.25" customHeight="1">
      <c r="B4" s="38" t="s">
        <v>70</v>
      </c>
      <c r="C4" s="40" t="s">
        <v>102</v>
      </c>
    </row>
    <row r="5" ht="14.25" customHeight="1"/>
    <row r="6" ht="25.5" customHeight="1">
      <c r="A6" s="41" t="s">
        <v>72</v>
      </c>
    </row>
    <row r="7" ht="15.0" customHeight="1">
      <c r="A7" s="75" t="s">
        <v>73</v>
      </c>
      <c r="B7" s="76" t="s">
        <v>74</v>
      </c>
      <c r="C7" s="76" t="s">
        <v>75</v>
      </c>
      <c r="D7" s="77" t="s">
        <v>76</v>
      </c>
    </row>
    <row r="8">
      <c r="A8" s="43">
        <v>1.0</v>
      </c>
      <c r="B8" s="44" t="s">
        <v>77</v>
      </c>
      <c r="C8" s="47" t="s">
        <v>78</v>
      </c>
      <c r="D8" s="48"/>
    </row>
    <row r="9">
      <c r="A9" s="43">
        <v>2.0</v>
      </c>
      <c r="B9" s="44" t="s">
        <v>79</v>
      </c>
      <c r="C9" s="47"/>
      <c r="D9" s="46" t="s">
        <v>78</v>
      </c>
    </row>
    <row r="10">
      <c r="A10" s="43">
        <v>3.0</v>
      </c>
      <c r="B10" s="44" t="s">
        <v>80</v>
      </c>
      <c r="C10" s="47"/>
      <c r="D10" s="46" t="s">
        <v>78</v>
      </c>
    </row>
    <row r="11">
      <c r="A11" s="43">
        <v>4.0</v>
      </c>
      <c r="B11" s="44" t="s">
        <v>81</v>
      </c>
      <c r="C11" s="47" t="s">
        <v>78</v>
      </c>
      <c r="D11" s="48"/>
    </row>
    <row r="12">
      <c r="A12" s="43">
        <v>5.0</v>
      </c>
      <c r="B12" s="44" t="s">
        <v>82</v>
      </c>
      <c r="C12" s="47" t="s">
        <v>78</v>
      </c>
      <c r="D12" s="48"/>
    </row>
    <row r="13">
      <c r="A13" s="43">
        <v>6.0</v>
      </c>
      <c r="B13" s="44" t="s">
        <v>83</v>
      </c>
      <c r="C13" s="47" t="s">
        <v>78</v>
      </c>
      <c r="D13" s="48"/>
    </row>
    <row r="14">
      <c r="A14" s="43">
        <v>7.0</v>
      </c>
      <c r="B14" s="44" t="s">
        <v>84</v>
      </c>
      <c r="C14" s="47" t="s">
        <v>78</v>
      </c>
      <c r="D14" s="48"/>
    </row>
    <row r="15">
      <c r="A15" s="43">
        <v>8.0</v>
      </c>
      <c r="B15" s="44" t="s">
        <v>85</v>
      </c>
      <c r="C15" s="47" t="s">
        <v>78</v>
      </c>
      <c r="D15" s="48"/>
    </row>
    <row r="16">
      <c r="A16" s="49">
        <v>9.0</v>
      </c>
      <c r="B16" s="50" t="s">
        <v>86</v>
      </c>
      <c r="C16" s="51"/>
      <c r="D16" s="51" t="s">
        <v>78</v>
      </c>
    </row>
    <row r="17" ht="14.25" customHeight="1">
      <c r="A17" s="52" t="s">
        <v>87</v>
      </c>
      <c r="C17" s="53">
        <f>COUNTA('MODELO LISTA DE COMPROBACIÓN RF'!$C$8:$C$16)</f>
        <v>6</v>
      </c>
      <c r="D17" s="53">
        <f>COUNTA('MODELO LISTA DE COMPROBACIÓN RF'!$D$8:$D$16)</f>
        <v>3</v>
      </c>
    </row>
    <row r="18" ht="14.25" customHeight="1">
      <c r="A18" s="52" t="s">
        <v>88</v>
      </c>
      <c r="C18" s="54">
        <f t="shared" ref="C18:D18" si="1">C17/9</f>
        <v>0.6666666667</v>
      </c>
      <c r="D18" s="54">
        <f t="shared" si="1"/>
        <v>0.3333333333</v>
      </c>
    </row>
    <row r="19" ht="14.25" customHeight="1">
      <c r="A19" s="52"/>
      <c r="B19" s="52"/>
      <c r="C19" s="54"/>
      <c r="D19" s="53"/>
    </row>
    <row r="20" ht="24.0" customHeight="1">
      <c r="A20" s="55" t="s">
        <v>89</v>
      </c>
      <c r="B20" s="56"/>
      <c r="C20" s="56"/>
      <c r="D20" s="56"/>
    </row>
    <row r="21" ht="14.25" customHeight="1">
      <c r="A21" s="67" t="s">
        <v>73</v>
      </c>
      <c r="B21" s="68" t="s">
        <v>74</v>
      </c>
      <c r="C21" s="69" t="s">
        <v>75</v>
      </c>
      <c r="D21" s="70" t="s">
        <v>76</v>
      </c>
    </row>
    <row r="22" ht="14.25" customHeight="1">
      <c r="A22" s="43">
        <v>1.0</v>
      </c>
      <c r="B22" s="44" t="s">
        <v>90</v>
      </c>
      <c r="C22" s="51" t="s">
        <v>78</v>
      </c>
      <c r="D22" s="48"/>
    </row>
    <row r="23" ht="14.25" customHeight="1">
      <c r="A23" s="43">
        <v>2.0</v>
      </c>
      <c r="B23" s="44" t="s">
        <v>91</v>
      </c>
      <c r="C23" s="51" t="s">
        <v>78</v>
      </c>
      <c r="D23" s="48"/>
    </row>
    <row r="24" ht="14.25" customHeight="1">
      <c r="A24" s="43">
        <v>3.0</v>
      </c>
      <c r="B24" s="44" t="s">
        <v>92</v>
      </c>
      <c r="C24" s="51"/>
      <c r="D24" s="46" t="s">
        <v>78</v>
      </c>
    </row>
    <row r="25" ht="14.25" customHeight="1">
      <c r="A25" s="43">
        <v>4.0</v>
      </c>
      <c r="B25" s="44" t="s">
        <v>93</v>
      </c>
      <c r="C25" s="51" t="s">
        <v>78</v>
      </c>
      <c r="D25" s="48"/>
    </row>
    <row r="26" ht="14.25" customHeight="1">
      <c r="A26" s="49">
        <v>5.0</v>
      </c>
      <c r="B26" s="50" t="s">
        <v>94</v>
      </c>
      <c r="C26" s="51" t="s">
        <v>78</v>
      </c>
      <c r="D26" s="66"/>
    </row>
    <row r="27" ht="14.25" customHeight="1">
      <c r="A27" s="52" t="s">
        <v>87</v>
      </c>
      <c r="C27" s="53">
        <f>COUNTA('MODELO LISTA DE COMPROBACIÓN RF'!$C$22:$C$26)</f>
        <v>4</v>
      </c>
      <c r="D27" s="53">
        <f>COUNTA('MODELO LISTA DE COMPROBACIÓN RF'!$D$22:$D$26)</f>
        <v>1</v>
      </c>
    </row>
    <row r="28" ht="14.25" customHeight="1">
      <c r="A28" s="52" t="s">
        <v>88</v>
      </c>
      <c r="C28" s="54">
        <f t="shared" ref="C28:D28" si="2">C27/5</f>
        <v>0.8</v>
      </c>
      <c r="D28" s="54">
        <f t="shared" si="2"/>
        <v>0.2</v>
      </c>
    </row>
    <row r="29" ht="14.25" customHeight="1">
      <c r="A29" s="52"/>
      <c r="B29" s="52"/>
      <c r="C29" s="54"/>
      <c r="D29" s="53"/>
    </row>
    <row r="30">
      <c r="A30" s="41" t="s">
        <v>95</v>
      </c>
    </row>
    <row r="31">
      <c r="A31" s="67" t="s">
        <v>73</v>
      </c>
      <c r="B31" s="68" t="s">
        <v>74</v>
      </c>
      <c r="C31" s="69" t="s">
        <v>75</v>
      </c>
      <c r="D31" s="70" t="s">
        <v>76</v>
      </c>
    </row>
    <row r="32">
      <c r="A32" s="43">
        <v>1.0</v>
      </c>
      <c r="B32" s="44" t="s">
        <v>96</v>
      </c>
      <c r="C32" s="51" t="s">
        <v>78</v>
      </c>
      <c r="D32" s="51"/>
    </row>
    <row r="33">
      <c r="A33" s="43">
        <v>2.0</v>
      </c>
      <c r="B33" s="44" t="s">
        <v>97</v>
      </c>
      <c r="C33" s="51" t="s">
        <v>78</v>
      </c>
      <c r="D33" s="51"/>
    </row>
    <row r="34">
      <c r="A34" s="49">
        <v>3.0</v>
      </c>
      <c r="B34" s="50" t="s">
        <v>98</v>
      </c>
      <c r="C34" s="51" t="s">
        <v>78</v>
      </c>
      <c r="D34" s="51"/>
    </row>
    <row r="35" ht="14.25" customHeight="1">
      <c r="A35" s="52" t="s">
        <v>87</v>
      </c>
      <c r="C35" s="22">
        <f>COUNTA('MODELO LISTA DE COMPROBACIÓN RF'!$C$32:$C$34)</f>
        <v>3</v>
      </c>
      <c r="D35" s="22">
        <f>COUNTA('MODELO LISTA DE COMPROBACIÓN RF'!$D$32:$D$34)</f>
        <v>0</v>
      </c>
    </row>
    <row r="36" ht="14.25" customHeight="1">
      <c r="A36" s="52" t="s">
        <v>88</v>
      </c>
      <c r="C36" s="54">
        <f t="shared" ref="C36:D36" si="3">C35/3</f>
        <v>1</v>
      </c>
      <c r="D36" s="54">
        <f t="shared" si="3"/>
        <v>0</v>
      </c>
    </row>
    <row r="37" ht="14.25" customHeight="1"/>
    <row r="38" ht="14.25" customHeight="1"/>
    <row r="39" ht="14.25" customHeight="1"/>
    <row r="40" ht="14.25" customHeight="1">
      <c r="A40" s="71" t="s">
        <v>99</v>
      </c>
    </row>
    <row r="41" ht="30.0" customHeight="1">
      <c r="B41" s="35" t="s">
        <v>100</v>
      </c>
      <c r="C41" s="72">
        <v>67.0</v>
      </c>
    </row>
    <row r="42" ht="30.0" customHeight="1">
      <c r="B42" s="35" t="s">
        <v>89</v>
      </c>
      <c r="C42" s="72">
        <v>80.0</v>
      </c>
    </row>
    <row r="43" ht="30.0" customHeight="1">
      <c r="B43" s="35" t="s">
        <v>95</v>
      </c>
      <c r="C43" s="53">
        <v>100.0</v>
      </c>
    </row>
    <row r="44" ht="14.25" customHeight="1">
      <c r="C44" s="53"/>
    </row>
    <row r="45" ht="14.25" customHeight="1">
      <c r="C45" s="53"/>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0" priority="1" operator="containsText" text="X">
      <formula>NOT(ISERROR(SEARCH(("X"),(A32))))</formula>
    </cfRule>
  </conditionalFormatting>
  <conditionalFormatting sqref="C8:D16 C22:C26 C32:D34">
    <cfRule type="containsText" dxfId="1" priority="2" operator="containsText" text="X">
      <formula>NOT(ISERROR(SEARCH(("X"),(C8))))</formula>
    </cfRule>
  </conditionalFormatting>
  <conditionalFormatting sqref="C8:D16 C22:C26 C32:D34">
    <cfRule type="containsText" dxfId="2" priority="3" operator="containsText" text="X">
      <formula>NOT(ISERROR(SEARCH(("X"),(C8))))</formula>
    </cfRule>
  </conditionalFormatting>
  <conditionalFormatting sqref="C8:D16 C22:C26 C32:D34">
    <cfRule type="containsText" dxfId="3" priority="4" operator="containsText" text="X">
      <formula>NOT(ISERROR(SEARCH(("X"),(C8))))</formula>
    </cfRule>
  </conditionalFormatting>
  <conditionalFormatting sqref="C8:D16 C22:C26 C32:D34">
    <cfRule type="containsText" dxfId="4" priority="5" operator="containsText" text="X">
      <formula>NOT(ISERROR(SEARCH(("X"),(C8))))</formula>
    </cfRule>
  </conditionalFormatting>
  <conditionalFormatting sqref="C22:D26">
    <cfRule type="containsText" dxfId="1" priority="6" operator="containsText" text="X">
      <formula>NOT(ISERROR(SEARCH(("X"),(C22))))</formula>
    </cfRule>
  </conditionalFormatting>
  <conditionalFormatting sqref="C22:D26">
    <cfRule type="containsText" dxfId="2" priority="7" operator="containsText" text="X">
      <formula>NOT(ISERROR(SEARCH(("X"),(C22))))</formula>
    </cfRule>
  </conditionalFormatting>
  <conditionalFormatting sqref="C32:D34">
    <cfRule type="containsText" dxfId="1"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62.14"/>
    <col customWidth="1" min="3" max="3" width="16.14"/>
    <col customWidth="1" min="4" max="4" width="33.71"/>
    <col customWidth="1" min="5" max="24" width="10.71"/>
  </cols>
  <sheetData>
    <row r="1" ht="51.0" customHeight="1">
      <c r="A1" s="35"/>
      <c r="B1" s="36" t="s">
        <v>1</v>
      </c>
      <c r="C1" s="73" t="s">
        <v>103</v>
      </c>
      <c r="E1" s="35"/>
      <c r="F1" s="35"/>
      <c r="G1" s="35"/>
      <c r="H1" s="35"/>
      <c r="I1" s="35"/>
      <c r="J1" s="35"/>
      <c r="K1" s="35"/>
      <c r="L1" s="35"/>
      <c r="M1" s="35"/>
      <c r="N1" s="35"/>
      <c r="O1" s="35"/>
      <c r="P1" s="35"/>
      <c r="Q1" s="35"/>
      <c r="R1" s="35"/>
      <c r="S1" s="35"/>
      <c r="T1" s="35"/>
      <c r="U1" s="35"/>
      <c r="V1" s="35"/>
      <c r="W1" s="35"/>
      <c r="X1" s="35"/>
      <c r="Y1" s="35"/>
      <c r="Z1" s="35"/>
    </row>
    <row r="2" ht="14.25" customHeight="1">
      <c r="B2" s="38" t="s">
        <v>67</v>
      </c>
      <c r="C2" s="74">
        <v>45950.0</v>
      </c>
    </row>
    <row r="3" ht="14.25" customHeight="1">
      <c r="B3" s="38" t="s">
        <v>68</v>
      </c>
      <c r="C3" s="40" t="s">
        <v>104</v>
      </c>
    </row>
    <row r="4" ht="14.25" customHeight="1">
      <c r="B4" s="38" t="s">
        <v>70</v>
      </c>
      <c r="C4" s="40" t="s">
        <v>8</v>
      </c>
    </row>
    <row r="5" ht="14.25" customHeight="1"/>
    <row r="6" ht="14.25" customHeight="1">
      <c r="A6" s="41" t="s">
        <v>72</v>
      </c>
    </row>
    <row r="7" ht="15.0" customHeight="1">
      <c r="A7" s="75" t="s">
        <v>73</v>
      </c>
      <c r="B7" s="76" t="s">
        <v>74</v>
      </c>
      <c r="C7" s="76" t="s">
        <v>75</v>
      </c>
      <c r="D7" s="77" t="s">
        <v>76</v>
      </c>
    </row>
    <row r="8" ht="14.25" customHeight="1">
      <c r="A8" s="43">
        <v>1.0</v>
      </c>
      <c r="B8" s="44" t="s">
        <v>77</v>
      </c>
      <c r="C8" s="47" t="s">
        <v>78</v>
      </c>
      <c r="D8" s="48"/>
    </row>
    <row r="9" ht="14.25" customHeight="1">
      <c r="A9" s="43">
        <v>2.0</v>
      </c>
      <c r="B9" s="44" t="s">
        <v>79</v>
      </c>
      <c r="C9" s="47" t="s">
        <v>78</v>
      </c>
      <c r="D9" s="48"/>
    </row>
    <row r="10" ht="14.25" customHeight="1">
      <c r="A10" s="43">
        <v>3.0</v>
      </c>
      <c r="B10" s="44" t="s">
        <v>80</v>
      </c>
      <c r="C10" s="47" t="s">
        <v>78</v>
      </c>
      <c r="D10" s="48"/>
    </row>
    <row r="11" ht="14.25" customHeight="1">
      <c r="A11" s="43">
        <v>4.0</v>
      </c>
      <c r="B11" s="44" t="s">
        <v>81</v>
      </c>
      <c r="C11" s="47" t="s">
        <v>78</v>
      </c>
      <c r="D11" s="48"/>
    </row>
    <row r="12" ht="14.25" customHeight="1">
      <c r="A12" s="43">
        <v>5.0</v>
      </c>
      <c r="B12" s="44" t="s">
        <v>82</v>
      </c>
      <c r="C12" s="47" t="s">
        <v>78</v>
      </c>
      <c r="D12" s="48"/>
    </row>
    <row r="13" ht="14.25" customHeight="1">
      <c r="A13" s="43">
        <v>6.0</v>
      </c>
      <c r="B13" s="44" t="s">
        <v>83</v>
      </c>
      <c r="C13" s="47" t="s">
        <v>78</v>
      </c>
      <c r="D13" s="48"/>
    </row>
    <row r="14" ht="14.25" customHeight="1">
      <c r="A14" s="43">
        <v>7.0</v>
      </c>
      <c r="B14" s="44" t="s">
        <v>84</v>
      </c>
      <c r="C14" s="47"/>
      <c r="D14" s="47" t="s">
        <v>78</v>
      </c>
    </row>
    <row r="15" ht="14.25" customHeight="1">
      <c r="A15" s="43">
        <v>8.0</v>
      </c>
      <c r="B15" s="44" t="s">
        <v>85</v>
      </c>
      <c r="C15" s="47" t="s">
        <v>78</v>
      </c>
      <c r="D15" s="48"/>
    </row>
    <row r="16" ht="14.25" customHeight="1">
      <c r="A16" s="49">
        <v>9.0</v>
      </c>
      <c r="B16" s="50" t="s">
        <v>86</v>
      </c>
      <c r="C16" s="51"/>
      <c r="D16" s="51" t="s">
        <v>78</v>
      </c>
    </row>
    <row r="17" ht="14.25" customHeight="1">
      <c r="A17" s="52" t="s">
        <v>87</v>
      </c>
      <c r="C17" s="53">
        <f>COUNTA('Hoja 1'!$C$8:$C$16)</f>
        <v>7</v>
      </c>
      <c r="D17" s="53">
        <f>COUNTA('Hoja 1'!$D$8:$D$16)</f>
        <v>2</v>
      </c>
    </row>
    <row r="18" ht="14.25" customHeight="1">
      <c r="A18" s="52" t="s">
        <v>88</v>
      </c>
      <c r="C18" s="54">
        <f t="shared" ref="C18:D18" si="1">C17/9</f>
        <v>0.7777777778</v>
      </c>
      <c r="D18" s="54">
        <f t="shared" si="1"/>
        <v>0.2222222222</v>
      </c>
    </row>
    <row r="19" ht="14.25" customHeight="1">
      <c r="A19" s="52"/>
      <c r="B19" s="52"/>
      <c r="C19" s="54"/>
      <c r="D19" s="53"/>
    </row>
    <row r="20" ht="14.25" customHeight="1">
      <c r="A20" s="55" t="s">
        <v>89</v>
      </c>
      <c r="B20" s="56"/>
      <c r="C20" s="56"/>
      <c r="D20" s="56"/>
    </row>
    <row r="21" ht="14.25" customHeight="1">
      <c r="A21" s="67" t="s">
        <v>73</v>
      </c>
      <c r="B21" s="68" t="s">
        <v>74</v>
      </c>
      <c r="C21" s="69" t="s">
        <v>75</v>
      </c>
      <c r="D21" s="70" t="s">
        <v>76</v>
      </c>
    </row>
    <row r="22" ht="14.25" customHeight="1">
      <c r="A22" s="43">
        <v>1.0</v>
      </c>
      <c r="B22" s="44" t="s">
        <v>90</v>
      </c>
      <c r="C22" s="51" t="s">
        <v>78</v>
      </c>
      <c r="D22" s="48"/>
    </row>
    <row r="23" ht="14.25" customHeight="1">
      <c r="A23" s="43">
        <v>2.0</v>
      </c>
      <c r="B23" s="44" t="s">
        <v>91</v>
      </c>
      <c r="C23" s="51" t="s">
        <v>78</v>
      </c>
      <c r="D23" s="48"/>
    </row>
    <row r="24" ht="14.25" customHeight="1">
      <c r="A24" s="43">
        <v>3.0</v>
      </c>
      <c r="B24" s="44" t="s">
        <v>92</v>
      </c>
      <c r="D24" s="51" t="s">
        <v>78</v>
      </c>
    </row>
    <row r="25" ht="14.25" customHeight="1">
      <c r="A25" s="43">
        <v>4.0</v>
      </c>
      <c r="B25" s="44" t="s">
        <v>93</v>
      </c>
      <c r="C25" s="51" t="s">
        <v>78</v>
      </c>
      <c r="D25" s="48"/>
    </row>
    <row r="26" ht="14.25" customHeight="1">
      <c r="A26" s="49">
        <v>5.0</v>
      </c>
      <c r="B26" s="50" t="s">
        <v>94</v>
      </c>
      <c r="C26" s="51" t="s">
        <v>78</v>
      </c>
      <c r="D26" s="66"/>
    </row>
    <row r="27" ht="14.25" customHeight="1">
      <c r="A27" s="52" t="s">
        <v>87</v>
      </c>
      <c r="C27" s="53">
        <f>COUNTA('Hoja 1'!$C$22:$C$26)</f>
        <v>4</v>
      </c>
      <c r="D27" s="53">
        <f>COUNTA('Hoja 1'!$D$22:$D$26)</f>
        <v>1</v>
      </c>
    </row>
    <row r="28" ht="14.25" customHeight="1">
      <c r="A28" s="52" t="s">
        <v>88</v>
      </c>
      <c r="C28" s="54">
        <f t="shared" ref="C28:D28" si="2">C27/5</f>
        <v>0.8</v>
      </c>
      <c r="D28" s="54">
        <f t="shared" si="2"/>
        <v>0.2</v>
      </c>
    </row>
    <row r="29" ht="14.25" customHeight="1">
      <c r="A29" s="52"/>
      <c r="B29" s="52"/>
      <c r="C29" s="54"/>
      <c r="D29" s="53"/>
    </row>
    <row r="30" ht="14.25" customHeight="1">
      <c r="A30" s="41" t="s">
        <v>95</v>
      </c>
    </row>
    <row r="31" ht="14.25" customHeight="1">
      <c r="A31" s="67" t="s">
        <v>73</v>
      </c>
      <c r="B31" s="68" t="s">
        <v>74</v>
      </c>
      <c r="C31" s="69" t="s">
        <v>75</v>
      </c>
      <c r="D31" s="70" t="s">
        <v>76</v>
      </c>
    </row>
    <row r="32" ht="14.25" customHeight="1">
      <c r="A32" s="43">
        <v>1.0</v>
      </c>
      <c r="B32" s="44" t="s">
        <v>96</v>
      </c>
      <c r="C32" s="51" t="s">
        <v>78</v>
      </c>
    </row>
    <row r="33" ht="14.25" customHeight="1">
      <c r="A33" s="43">
        <v>2.0</v>
      </c>
      <c r="B33" s="44" t="s">
        <v>97</v>
      </c>
      <c r="C33" s="51" t="s">
        <v>78</v>
      </c>
    </row>
    <row r="34" ht="14.25" customHeight="1">
      <c r="A34" s="49">
        <v>3.0</v>
      </c>
      <c r="B34" s="50" t="s">
        <v>98</v>
      </c>
      <c r="C34" s="51" t="s">
        <v>78</v>
      </c>
      <c r="D34" s="51"/>
    </row>
    <row r="35" ht="14.25" customHeight="1">
      <c r="A35" s="52" t="s">
        <v>87</v>
      </c>
      <c r="C35" s="22">
        <f>COUNTA('Hoja 1'!$C$32:$C$34)</f>
        <v>3</v>
      </c>
      <c r="D35" s="22">
        <f>COUNTA('Hoja 1'!$D$32:$D$34)</f>
        <v>0</v>
      </c>
    </row>
    <row r="36" ht="14.25" customHeight="1">
      <c r="A36" s="52" t="s">
        <v>88</v>
      </c>
      <c r="C36" s="54">
        <f t="shared" ref="C36:D36" si="3">C35/3</f>
        <v>1</v>
      </c>
      <c r="D36" s="54">
        <f t="shared" si="3"/>
        <v>0</v>
      </c>
    </row>
    <row r="37" ht="14.25" customHeight="1"/>
    <row r="38" ht="14.25" customHeight="1"/>
    <row r="39" ht="14.25" customHeight="1"/>
    <row r="40" ht="14.25" customHeight="1">
      <c r="A40" s="71" t="s">
        <v>99</v>
      </c>
    </row>
    <row r="41" ht="30.0" customHeight="1">
      <c r="B41" s="35" t="s">
        <v>100</v>
      </c>
      <c r="C41" s="53">
        <v>78.0</v>
      </c>
    </row>
    <row r="42" ht="30.0" customHeight="1">
      <c r="B42" s="35" t="s">
        <v>89</v>
      </c>
      <c r="C42" s="72">
        <v>80.0</v>
      </c>
    </row>
    <row r="43" ht="30.0" customHeight="1">
      <c r="B43" s="35" t="s">
        <v>95</v>
      </c>
      <c r="C43" s="72">
        <v>100.0</v>
      </c>
    </row>
    <row r="44" ht="14.25" customHeight="1">
      <c r="C44" s="53"/>
    </row>
    <row r="45" ht="14.25" customHeight="1">
      <c r="C45" s="53"/>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0" priority="1" operator="containsText" text="X">
      <formula>NOT(ISERROR(SEARCH(("X"),(A32))))</formula>
    </cfRule>
  </conditionalFormatting>
  <conditionalFormatting sqref="C8:D16 C22:C23 D24 C25:C26 C32:D34">
    <cfRule type="containsText" dxfId="1" priority="2" operator="containsText" text="X">
      <formula>NOT(ISERROR(SEARCH(("X"),(C8))))</formula>
    </cfRule>
  </conditionalFormatting>
  <conditionalFormatting sqref="C8:D16 C22:C23 D24 C25:C26 C32:D34">
    <cfRule type="containsText" dxfId="2" priority="3" operator="containsText" text="X">
      <formula>NOT(ISERROR(SEARCH(("X"),(C8))))</formula>
    </cfRule>
  </conditionalFormatting>
  <conditionalFormatting sqref="C8:D16 C22:C23 D24 C25:C26 C32:D34">
    <cfRule type="containsText" dxfId="3" priority="4" operator="containsText" text="X">
      <formula>NOT(ISERROR(SEARCH(("X"),(C8))))</formula>
    </cfRule>
  </conditionalFormatting>
  <conditionalFormatting sqref="C8:D16 C22:C23 D24 C25:C26 C32:D34">
    <cfRule type="containsText" dxfId="4" priority="5" operator="containsText" text="X">
      <formula>NOT(ISERROR(SEARCH(("X"),(C8))))</formula>
    </cfRule>
  </conditionalFormatting>
  <conditionalFormatting sqref="C22:D26">
    <cfRule type="containsText" dxfId="1" priority="6" operator="containsText" text="X">
      <formula>NOT(ISERROR(SEARCH(("X"),(C22))))</formula>
    </cfRule>
  </conditionalFormatting>
  <conditionalFormatting sqref="C22:D26">
    <cfRule type="containsText" dxfId="2" priority="7" operator="containsText" text="X">
      <formula>NOT(ISERROR(SEARCH(("X"),(C22))))</formula>
    </cfRule>
  </conditionalFormatting>
  <conditionalFormatting sqref="C32:D34">
    <cfRule type="containsText" dxfId="1" priority="8" operator="containsText" text="X">
      <formula>NOT(ISERROR(SEARCH(("X"),(C32))))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6.71"/>
    <col customWidth="1" min="3" max="3" width="24.29"/>
    <col customWidth="1" min="4" max="24" width="10.71"/>
  </cols>
  <sheetData>
    <row r="1" ht="51.0" customHeight="1">
      <c r="A1" s="35"/>
      <c r="B1" s="36" t="s">
        <v>1</v>
      </c>
      <c r="C1" s="73" t="s">
        <v>2</v>
      </c>
      <c r="E1" s="35"/>
      <c r="F1" s="35"/>
      <c r="G1" s="35"/>
      <c r="H1" s="35"/>
      <c r="I1" s="35"/>
      <c r="J1" s="35"/>
      <c r="K1" s="35"/>
      <c r="L1" s="35"/>
      <c r="M1" s="35"/>
      <c r="N1" s="35"/>
      <c r="O1" s="35"/>
      <c r="P1" s="35"/>
      <c r="Q1" s="35"/>
      <c r="R1" s="35"/>
      <c r="S1" s="35"/>
      <c r="T1" s="35"/>
      <c r="U1" s="35"/>
      <c r="V1" s="35"/>
      <c r="W1" s="35"/>
      <c r="X1" s="35"/>
      <c r="Y1" s="35"/>
      <c r="Z1" s="35"/>
    </row>
    <row r="2" ht="14.25" customHeight="1">
      <c r="B2" s="38" t="s">
        <v>67</v>
      </c>
      <c r="C2" s="74">
        <v>45946.0</v>
      </c>
    </row>
    <row r="3" ht="14.25" customHeight="1">
      <c r="B3" s="38" t="s">
        <v>68</v>
      </c>
      <c r="C3" s="40" t="s">
        <v>105</v>
      </c>
    </row>
    <row r="4" ht="14.25" customHeight="1">
      <c r="B4" s="38" t="s">
        <v>70</v>
      </c>
      <c r="C4" s="40" t="s">
        <v>106</v>
      </c>
    </row>
    <row r="5" ht="14.25" customHeight="1"/>
    <row r="6" ht="14.25" customHeight="1">
      <c r="A6" s="41" t="s">
        <v>72</v>
      </c>
    </row>
    <row r="7" ht="15.0" customHeight="1">
      <c r="A7" s="75" t="s">
        <v>73</v>
      </c>
      <c r="B7" s="76" t="s">
        <v>74</v>
      </c>
      <c r="C7" s="76" t="s">
        <v>75</v>
      </c>
      <c r="D7" s="77" t="s">
        <v>76</v>
      </c>
    </row>
    <row r="8" ht="14.25" customHeight="1">
      <c r="A8" s="43">
        <v>1.0</v>
      </c>
      <c r="B8" s="44" t="s">
        <v>77</v>
      </c>
      <c r="C8" s="47" t="s">
        <v>78</v>
      </c>
      <c r="D8" s="48"/>
    </row>
    <row r="9" ht="14.25" customHeight="1">
      <c r="A9" s="43">
        <v>2.0</v>
      </c>
      <c r="B9" s="44" t="s">
        <v>79</v>
      </c>
      <c r="D9" s="47" t="s">
        <v>78</v>
      </c>
    </row>
    <row r="10" ht="14.25" customHeight="1">
      <c r="A10" s="43">
        <v>3.0</v>
      </c>
      <c r="B10" s="44" t="s">
        <v>80</v>
      </c>
      <c r="C10" s="47" t="s">
        <v>78</v>
      </c>
      <c r="D10" s="48"/>
    </row>
    <row r="11" ht="14.25" customHeight="1">
      <c r="A11" s="43">
        <v>4.0</v>
      </c>
      <c r="B11" s="44" t="s">
        <v>81</v>
      </c>
      <c r="C11" s="47" t="s">
        <v>78</v>
      </c>
    </row>
    <row r="12" ht="14.25" customHeight="1">
      <c r="A12" s="43">
        <v>5.0</v>
      </c>
      <c r="B12" s="78" t="s">
        <v>107</v>
      </c>
      <c r="C12" s="47" t="s">
        <v>78</v>
      </c>
      <c r="D12" s="48"/>
    </row>
    <row r="13" ht="14.25" customHeight="1">
      <c r="A13" s="43">
        <v>6.0</v>
      </c>
      <c r="B13" s="44" t="s">
        <v>83</v>
      </c>
      <c r="C13" s="47" t="s">
        <v>78</v>
      </c>
      <c r="D13" s="48"/>
    </row>
    <row r="14" ht="14.25" customHeight="1">
      <c r="A14" s="43">
        <v>7.0</v>
      </c>
      <c r="B14" s="44" t="s">
        <v>84</v>
      </c>
      <c r="C14" s="47" t="s">
        <v>78</v>
      </c>
      <c r="D14" s="48"/>
    </row>
    <row r="15" ht="14.25" customHeight="1">
      <c r="A15" s="43">
        <v>8.0</v>
      </c>
      <c r="B15" s="44" t="s">
        <v>85</v>
      </c>
      <c r="C15" s="47" t="s">
        <v>78</v>
      </c>
      <c r="D15" s="48"/>
    </row>
    <row r="16" ht="14.25" customHeight="1">
      <c r="A16" s="49">
        <v>9.0</v>
      </c>
      <c r="B16" s="50" t="s">
        <v>86</v>
      </c>
      <c r="C16" s="51" t="s">
        <v>78</v>
      </c>
    </row>
    <row r="17" ht="14.25" customHeight="1">
      <c r="A17" s="52" t="s">
        <v>87</v>
      </c>
      <c r="C17" s="53">
        <f>COUNTA('MODELO DE LISTA DE COMPROBACION'!$C$8:$C$16)</f>
        <v>8</v>
      </c>
      <c r="D17" s="53">
        <f>COUNTA('MODELO DE LISTA DE COMPROBACION'!$D$8:$D$16)</f>
        <v>1</v>
      </c>
    </row>
    <row r="18" ht="14.25" customHeight="1">
      <c r="A18" s="52" t="s">
        <v>88</v>
      </c>
      <c r="C18" s="54">
        <f t="shared" ref="C18:D18" si="1">C17/9</f>
        <v>0.8888888889</v>
      </c>
      <c r="D18" s="54">
        <f t="shared" si="1"/>
        <v>0.1111111111</v>
      </c>
    </row>
    <row r="19" ht="14.25" customHeight="1">
      <c r="A19" s="52"/>
      <c r="B19" s="52"/>
      <c r="C19" s="54"/>
      <c r="D19" s="53"/>
    </row>
    <row r="20" ht="14.25" customHeight="1">
      <c r="A20" s="55" t="s">
        <v>89</v>
      </c>
      <c r="B20" s="56"/>
      <c r="C20" s="56"/>
      <c r="D20" s="56"/>
    </row>
    <row r="21" ht="14.25" customHeight="1">
      <c r="A21" s="67" t="s">
        <v>73</v>
      </c>
      <c r="B21" s="68" t="s">
        <v>74</v>
      </c>
      <c r="C21" s="69" t="s">
        <v>75</v>
      </c>
      <c r="D21" s="70" t="s">
        <v>76</v>
      </c>
    </row>
    <row r="22" ht="14.25" customHeight="1">
      <c r="A22" s="43">
        <v>1.0</v>
      </c>
      <c r="B22" s="78" t="s">
        <v>108</v>
      </c>
      <c r="C22" s="51" t="s">
        <v>78</v>
      </c>
      <c r="D22" s="48"/>
    </row>
    <row r="23" ht="14.25" customHeight="1">
      <c r="A23" s="43">
        <v>2.0</v>
      </c>
      <c r="B23" s="44" t="s">
        <v>91</v>
      </c>
      <c r="C23" s="51" t="s">
        <v>78</v>
      </c>
      <c r="D23" s="48"/>
    </row>
    <row r="24" ht="14.25" customHeight="1">
      <c r="A24" s="43">
        <v>3.0</v>
      </c>
      <c r="B24" s="44" t="s">
        <v>92</v>
      </c>
      <c r="C24" s="51" t="s">
        <v>78</v>
      </c>
      <c r="D24" s="48"/>
    </row>
    <row r="25" ht="14.25" customHeight="1">
      <c r="A25" s="43">
        <v>4.0</v>
      </c>
      <c r="B25" s="44" t="s">
        <v>93</v>
      </c>
      <c r="C25" s="51" t="s">
        <v>78</v>
      </c>
      <c r="D25" s="48"/>
    </row>
    <row r="26" ht="14.25" customHeight="1">
      <c r="A26" s="49">
        <v>5.0</v>
      </c>
      <c r="B26" s="50" t="s">
        <v>94</v>
      </c>
      <c r="C26" s="51" t="s">
        <v>78</v>
      </c>
      <c r="D26" s="66"/>
    </row>
    <row r="27" ht="14.25" customHeight="1">
      <c r="A27" s="52" t="s">
        <v>87</v>
      </c>
      <c r="C27" s="53">
        <f>COUNTA('MODELO DE LISTA DE COMPROBACION'!$C$22:$C$26)</f>
        <v>5</v>
      </c>
      <c r="D27" s="53">
        <f>COUNTA('MODELO DE LISTA DE COMPROBACION'!$D$22:$D$26)</f>
        <v>0</v>
      </c>
    </row>
    <row r="28" ht="14.25" customHeight="1">
      <c r="A28" s="52" t="s">
        <v>88</v>
      </c>
      <c r="C28" s="54">
        <f t="shared" ref="C28:D28" si="2">C27/5</f>
        <v>1</v>
      </c>
      <c r="D28" s="54">
        <f t="shared" si="2"/>
        <v>0</v>
      </c>
    </row>
    <row r="29" ht="14.25" customHeight="1">
      <c r="A29" s="52"/>
      <c r="B29" s="52"/>
      <c r="C29" s="54"/>
      <c r="D29" s="53"/>
    </row>
    <row r="30" ht="14.25" customHeight="1">
      <c r="A30" s="41" t="s">
        <v>95</v>
      </c>
    </row>
    <row r="31" ht="14.25" customHeight="1">
      <c r="A31" s="67" t="s">
        <v>73</v>
      </c>
      <c r="B31" s="68" t="s">
        <v>74</v>
      </c>
      <c r="C31" s="69" t="s">
        <v>75</v>
      </c>
      <c r="D31" s="70" t="s">
        <v>76</v>
      </c>
    </row>
    <row r="32" ht="14.25" customHeight="1">
      <c r="A32" s="43">
        <v>1.0</v>
      </c>
      <c r="B32" s="44" t="s">
        <v>96</v>
      </c>
      <c r="C32" s="79" t="s">
        <v>78</v>
      </c>
      <c r="D32" s="51"/>
    </row>
    <row r="33" ht="14.25" customHeight="1">
      <c r="A33" s="43">
        <v>2.0</v>
      </c>
      <c r="B33" s="44" t="s">
        <v>97</v>
      </c>
      <c r="C33" s="79" t="s">
        <v>78</v>
      </c>
      <c r="D33" s="51"/>
    </row>
    <row r="34" ht="14.25" customHeight="1">
      <c r="A34" s="49">
        <v>3.0</v>
      </c>
      <c r="B34" s="50" t="s">
        <v>98</v>
      </c>
      <c r="C34" s="51" t="s">
        <v>78</v>
      </c>
      <c r="D34" s="51"/>
    </row>
    <row r="35" ht="14.25" customHeight="1">
      <c r="A35" s="52" t="s">
        <v>87</v>
      </c>
      <c r="C35" s="22">
        <f>COUNTA('MODELO DE LISTA DE COMPROBACION'!$C$32:$C$34)</f>
        <v>3</v>
      </c>
      <c r="D35" s="22">
        <f>COUNTA('MODELO DE LISTA DE COMPROBACION'!$D$32:$D$34)</f>
        <v>0</v>
      </c>
    </row>
    <row r="36" ht="14.25" customHeight="1">
      <c r="A36" s="52" t="s">
        <v>88</v>
      </c>
      <c r="C36" s="54">
        <f t="shared" ref="C36:D36" si="3">C35/3</f>
        <v>1</v>
      </c>
      <c r="D36" s="54">
        <f t="shared" si="3"/>
        <v>0</v>
      </c>
    </row>
    <row r="37" ht="14.25" customHeight="1"/>
    <row r="38" ht="14.25" customHeight="1"/>
    <row r="39" ht="14.25" customHeight="1"/>
    <row r="40" ht="14.25" customHeight="1">
      <c r="A40" s="71" t="s">
        <v>99</v>
      </c>
    </row>
    <row r="41" ht="30.0" customHeight="1">
      <c r="B41" s="35" t="s">
        <v>100</v>
      </c>
      <c r="C41" s="72">
        <v>89.0</v>
      </c>
    </row>
    <row r="42" ht="30.0" customHeight="1">
      <c r="B42" s="35" t="s">
        <v>89</v>
      </c>
      <c r="C42" s="53">
        <v>100.0</v>
      </c>
    </row>
    <row r="43" ht="30.0" customHeight="1">
      <c r="B43" s="35" t="s">
        <v>95</v>
      </c>
      <c r="C43" s="72">
        <v>100.0</v>
      </c>
    </row>
    <row r="44" ht="14.25" customHeight="1">
      <c r="C44" s="53"/>
    </row>
    <row r="45" ht="14.25" customHeight="1">
      <c r="C45" s="53"/>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0" priority="1" operator="containsText" text="X">
      <formula>NOT(ISERROR(SEARCH(("X"),(A32))))</formula>
    </cfRule>
  </conditionalFormatting>
  <conditionalFormatting sqref="C8:D16 C22:C26 C32:D34">
    <cfRule type="containsText" dxfId="1" priority="2" operator="containsText" text="X">
      <formula>NOT(ISERROR(SEARCH(("X"),(C8))))</formula>
    </cfRule>
  </conditionalFormatting>
  <conditionalFormatting sqref="C8:D16 C22:C26 C32:D34">
    <cfRule type="containsText" dxfId="2" priority="3" operator="containsText" text="X">
      <formula>NOT(ISERROR(SEARCH(("X"),(C8))))</formula>
    </cfRule>
  </conditionalFormatting>
  <conditionalFormatting sqref="C8:D16 C22:C26 C32:D34">
    <cfRule type="containsText" dxfId="3" priority="4" operator="containsText" text="X">
      <formula>NOT(ISERROR(SEARCH(("X"),(C8))))</formula>
    </cfRule>
  </conditionalFormatting>
  <conditionalFormatting sqref="C8:D16 C22:C26 C32:D34">
    <cfRule type="containsText" dxfId="4" priority="5" operator="containsText" text="X">
      <formula>NOT(ISERROR(SEARCH(("X"),(C8))))</formula>
    </cfRule>
  </conditionalFormatting>
  <conditionalFormatting sqref="C22:D26">
    <cfRule type="containsText" dxfId="1" priority="6" operator="containsText" text="X">
      <formula>NOT(ISERROR(SEARCH(("X"),(C22))))</formula>
    </cfRule>
  </conditionalFormatting>
  <conditionalFormatting sqref="C22:D26">
    <cfRule type="containsText" dxfId="2" priority="7" operator="containsText" text="X">
      <formula>NOT(ISERROR(SEARCH(("X"),(C22))))</formula>
    </cfRule>
  </conditionalFormatting>
  <conditionalFormatting sqref="C32:D34">
    <cfRule type="containsText" dxfId="1"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57"/>
    <col customWidth="1" min="2" max="2" width="116.86"/>
    <col customWidth="1" min="3" max="6" width="10.71"/>
  </cols>
  <sheetData>
    <row r="1" ht="14.25" customHeight="1">
      <c r="A1" s="80" t="s">
        <v>109</v>
      </c>
      <c r="B1" s="80" t="s">
        <v>110</v>
      </c>
    </row>
    <row r="2" ht="111.0" customHeight="1">
      <c r="A2" s="81" t="s">
        <v>111</v>
      </c>
      <c r="B2" s="82" t="s">
        <v>112</v>
      </c>
    </row>
    <row r="3" ht="69.75" customHeight="1">
      <c r="A3" s="83" t="s">
        <v>113</v>
      </c>
      <c r="B3" s="84" t="s">
        <v>114</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86"/>
    <col customWidth="1" min="2" max="2" width="187.0"/>
    <col customWidth="1" min="3" max="6" width="10.71"/>
  </cols>
  <sheetData>
    <row r="1" ht="14.25" customHeight="1">
      <c r="A1" s="80" t="s">
        <v>109</v>
      </c>
      <c r="B1" s="80" t="s">
        <v>110</v>
      </c>
    </row>
    <row r="2" ht="14.25" customHeight="1">
      <c r="A2" s="85" t="s">
        <v>115</v>
      </c>
      <c r="B2" s="85" t="s">
        <v>116</v>
      </c>
    </row>
    <row r="3" ht="14.25" customHeight="1">
      <c r="A3" s="85" t="s">
        <v>117</v>
      </c>
      <c r="B3" s="85" t="s">
        <v>118</v>
      </c>
    </row>
    <row r="4" ht="14.25" customHeight="1">
      <c r="A4" s="85" t="s">
        <v>119</v>
      </c>
      <c r="B4" s="85" t="s">
        <v>120</v>
      </c>
    </row>
    <row r="5" ht="14.25" customHeight="1">
      <c r="A5" s="86"/>
      <c r="B5" s="87"/>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80.86"/>
    <col customWidth="1" min="3" max="6" width="10.71"/>
  </cols>
  <sheetData>
    <row r="1" ht="14.25" customHeight="1">
      <c r="A1" s="80" t="s">
        <v>79</v>
      </c>
      <c r="B1" s="80" t="s">
        <v>110</v>
      </c>
    </row>
    <row r="2">
      <c r="A2" s="88" t="s">
        <v>80</v>
      </c>
      <c r="B2" s="89" t="s">
        <v>121</v>
      </c>
    </row>
    <row r="3">
      <c r="A3" s="13" t="s">
        <v>122</v>
      </c>
      <c r="B3" s="89" t="s">
        <v>123</v>
      </c>
    </row>
    <row r="4">
      <c r="A4" s="44" t="s">
        <v>86</v>
      </c>
      <c r="B4" s="90" t="s">
        <v>124</v>
      </c>
    </row>
    <row r="5">
      <c r="A5" s="91" t="s">
        <v>92</v>
      </c>
      <c r="B5" s="90" t="s">
        <v>125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57.0"/>
    <col customWidth="1" min="3" max="6" width="10.71"/>
  </cols>
  <sheetData>
    <row r="1" ht="14.25" customHeight="1">
      <c r="A1" s="92" t="s">
        <v>109</v>
      </c>
      <c r="B1" s="80" t="s">
        <v>110</v>
      </c>
    </row>
    <row r="2">
      <c r="A2" s="83" t="s">
        <v>126</v>
      </c>
      <c r="B2" s="93" t="s">
        <v>127</v>
      </c>
    </row>
    <row r="3">
      <c r="A3" s="83" t="s">
        <v>128</v>
      </c>
      <c r="B3" s="89" t="s">
        <v>129</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