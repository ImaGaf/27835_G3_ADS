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alejo\Documentos\6to Semestre\analisis\2P\proyecto\Plantillas A&amp;D\"/>
    </mc:Choice>
  </mc:AlternateContent>
  <xr:revisionPtr revIDLastSave="0" documentId="8_{1A619AD9-B64E-40F3-9BA2-C2C9A8B560D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cklog" sheetId="1" r:id="rId1"/>
    <sheet name="Sprint 1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Q23" i="3" l="1"/>
  <c r="H11" i="3"/>
  <c r="G11" i="3"/>
  <c r="F11" i="3"/>
  <c r="E11" i="3"/>
  <c r="D11" i="3"/>
  <c r="H10" i="3"/>
  <c r="G10" i="3"/>
  <c r="F10" i="3"/>
  <c r="E10" i="3"/>
  <c r="D10" i="3"/>
  <c r="C11" i="3"/>
  <c r="C10" i="3"/>
</calcChain>
</file>

<file path=xl/sharedStrings.xml><?xml version="1.0" encoding="utf-8"?>
<sst xmlns="http://schemas.openxmlformats.org/spreadsheetml/2006/main" count="245" uniqueCount="127">
  <si>
    <t>Tema</t>
  </si>
  <si>
    <t>Como un..</t>
  </si>
  <si>
    <t>Alta</t>
  </si>
  <si>
    <t>Media</t>
  </si>
  <si>
    <t>ID</t>
  </si>
  <si>
    <t>Necesito</t>
  </si>
  <si>
    <t>Prioridad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</si>
  <si>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</si>
  <si>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</si>
  <si>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</si>
  <si>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</si>
  <si>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</si>
  <si>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</si>
  <si>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</si>
  <si>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</si>
  <si>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</si>
  <si>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Estado</t>
  </si>
  <si>
    <t>RF1.1</t>
  </si>
  <si>
    <t>Fernando Sandoval</t>
  </si>
  <si>
    <t>RF1.3</t>
  </si>
  <si>
    <t>Simone Medina</t>
  </si>
  <si>
    <t>RF1.5</t>
  </si>
  <si>
    <t>RF1.6</t>
  </si>
  <si>
    <t>Zaith Manangón</t>
  </si>
  <si>
    <t>Registro de Cuenta de Cliente</t>
  </si>
  <si>
    <t>Cliente</t>
  </si>
  <si>
    <t>Crear mi cuenta en el sistema con nombre, correo y contraseña</t>
  </si>
  <si>
    <t>Acceder al sistema y gestionar mis comprobantes de pago</t>
  </si>
  <si>
    <t>En proceso</t>
  </si>
  <si>
    <t>RF1.2</t>
  </si>
  <si>
    <t>Gestión de Cuentas de Asistente</t>
  </si>
  <si>
    <t>Gerente</t>
  </si>
  <si>
    <t>Registrar nuevos asistentes administrativos desde mi panel</t>
  </si>
  <si>
    <t>Gestionar el personal que ayudará en operaciones administrativas</t>
  </si>
  <si>
    <t>Inicio de Sesión Multirole</t>
  </si>
  <si>
    <t>Cliente, Asistente, Gerente</t>
  </si>
  <si>
    <t>Acceder al sistema según mi rol con mis credenciales</t>
  </si>
  <si>
    <t>Tener acceso seguro y diferenciado según mi tipo de usuario</t>
  </si>
  <si>
    <t>RF1.4</t>
  </si>
  <si>
    <t>Recuperación de Contraseña</t>
  </si>
  <si>
    <t>Recuperar mi acceso mediante verificación por correo</t>
  </si>
  <si>
    <t>Restablecer mi contraseña de forma segura cuando la olvide</t>
  </si>
  <si>
    <t>Cierre Seguro de Sesión</t>
  </si>
  <si>
    <t>Cerrar mi sesión de forma segura</t>
  </si>
  <si>
    <t>Prevenir accesos no autorizados después de mi uso</t>
  </si>
  <si>
    <t>Dashboard Personalizado</t>
  </si>
  <si>
    <t>Visualizar un dashboard personalizado según mi rol</t>
  </si>
  <si>
    <t>Acceder rápidamente a funcionalidades principales y datos relevantes</t>
  </si>
  <si>
    <t>Así podré...</t>
  </si>
  <si>
    <t>Notas</t>
  </si>
  <si>
    <t>RF2</t>
  </si>
  <si>
    <t>Carga y Registro de Comprobantes</t>
  </si>
  <si>
    <t>Ingresar datos del comprobante y adjuntar archivo</t>
  </si>
  <si>
    <t>Mantener registro digital de pagos realizados</t>
  </si>
  <si>
    <t>RF3</t>
  </si>
  <si>
    <t>Abono a Crédito Activo</t>
  </si>
  <si>
    <t>Cliente, Gerente</t>
  </si>
  <si>
    <t>Registrar pago y recalcular estado del crédito</t>
  </si>
  <si>
    <t>Mantener actualizado mi estado financiero</t>
  </si>
  <si>
    <t>RF4</t>
  </si>
  <si>
    <t>Importación Masiva de Facturación</t>
  </si>
  <si>
    <t>Gerente, Asistente</t>
  </si>
  <si>
    <t>Cargar archivos CSV/XLSX con datos de facturación</t>
  </si>
  <si>
    <t>Sincronizar información de sistemas externos</t>
  </si>
  <si>
    <t>RF5.1</t>
  </si>
  <si>
    <t>Otorgamiento de Crédito a Cliente</t>
  </si>
  <si>
    <t>Asignar crédito y cambiar estado del cliente</t>
  </si>
  <si>
    <t>Habilitar compras a crédito según política de la empresa</t>
  </si>
  <si>
    <t>RF5.2</t>
  </si>
  <si>
    <t>Pago de Cuotas en Línea</t>
  </si>
  <si>
    <t>Procesar pago de cuota mediante pasarela de pago</t>
  </si>
  <si>
    <t>Facilitar el cumplimiento de mis obligaciones desde cualquier lugar</t>
  </si>
  <si>
    <t>RF5.3</t>
  </si>
  <si>
    <t>Visualización de Condiciones del Crédito</t>
  </si>
  <si>
    <t>Visualizar términos, interés, cuotas y cronograma</t>
  </si>
  <si>
    <t>Mantenerme informado sobre mi obligación financiera</t>
  </si>
  <si>
    <t>RF5.4</t>
  </si>
  <si>
    <t>Seguimiento de Saldo y Cuotas</t>
  </si>
  <si>
    <t>Ver cuotas pagadas, pendientes y monto restante</t>
  </si>
  <si>
    <t>Hacer seguimiento de mi cumplimiento financiero</t>
  </si>
  <si>
    <t>RF5.5</t>
  </si>
  <si>
    <t>Descarga de Certificados de Pago</t>
  </si>
  <si>
    <t>Generar documento PDF con información de mis pagos</t>
  </si>
  <si>
    <t>Contar con respaldo formal de transacciones realizadas</t>
  </si>
  <si>
    <t>RF6.1</t>
  </si>
  <si>
    <t>Reporte Individual de Pagos</t>
  </si>
  <si>
    <t>Filtrar y visualizar pagos de un cliente particular</t>
  </si>
  <si>
    <t>Analizar comportamiento de pago individual</t>
  </si>
  <si>
    <t>RF6.2</t>
  </si>
  <si>
    <t>Reporte de Pagos por Fechas</t>
  </si>
  <si>
    <t>Consultar todos los pagos en un período específico</t>
  </si>
  <si>
    <t>Analizar flujo de caja y tendencias temporales</t>
  </si>
  <si>
    <t>RF6.3</t>
  </si>
  <si>
    <t>Reporte de Riesgo de Morosidad</t>
  </si>
  <si>
    <t>Asistente</t>
  </si>
  <si>
    <t>Listar clientes con pagos vencidos o en mora</t>
  </si>
  <si>
    <t>Realizar seguimiento y gestión de cobro</t>
  </si>
  <si>
    <t>RF6.4</t>
  </si>
  <si>
    <t>Búsqueda Rápida de Clientes</t>
  </si>
  <si>
    <t>Buscar y visualizar datos personales y de contacto del cliente</t>
  </si>
  <si>
    <t>Brindar atención y soporte al cliente</t>
  </si>
  <si>
    <t>RF6.5</t>
  </si>
  <si>
    <t>Consulta de Historial de Pagos</t>
  </si>
  <si>
    <t>Visualizar todos los pagos registrados de un cliente</t>
  </si>
  <si>
    <t>Brindar soporte y resolver consultas</t>
  </si>
  <si>
    <t>RF7</t>
  </si>
  <si>
    <t>Vista Global de Estado de Cuenta</t>
  </si>
  <si>
    <t>Visualizar créditos, pagos, cuotas e intereses</t>
  </si>
  <si>
    <t>Tener visión integral de mi situación financiera</t>
  </si>
  <si>
    <t>RF8.1</t>
  </si>
  <si>
    <t>Alerta de Vencimiento Crítico</t>
  </si>
  <si>
    <t>Cliente (receptor), Asistente (gestor)</t>
  </si>
  <si>
    <t>Recibir alerta cuando se aproxima fecha de vencimiento crítica</t>
  </si>
  <si>
    <t>Prevenir incumplimientos y mantenerme informado</t>
  </si>
  <si>
    <t>RF8.2</t>
  </si>
  <si>
    <t>Aviso Preventivo de Vencimiento</t>
  </si>
  <si>
    <t>Recibir alerta con anticipación sobre fechas de pago cercanas</t>
  </si>
  <si>
    <t>Recordar mis obligaciones y facilitar cumplimiento</t>
  </si>
  <si>
    <t>RF8.3</t>
  </si>
  <si>
    <t>Notificación de Deuda Vencida</t>
  </si>
  <si>
    <t>Recibir alerta sobre obligaciones no cumplidas en fecha</t>
  </si>
  <si>
    <t>Conocer estado de mi deuda y regularizar</t>
  </si>
  <si>
    <t>SPRINT 1</t>
  </si>
  <si>
    <t>Encargado</t>
  </si>
  <si>
    <t>Oswaldo Tipan</t>
  </si>
  <si>
    <t>Tiempo (Estimado en Hrs)</t>
  </si>
  <si>
    <t>Durante el proceso de desarrollo del Sprint 1, se completaron satisfactoriamente las 19 horas estimadas distribuidas a lo largo de 5 días de trabajo para implementar el módulo fundamental de Gestión de Autenticación y Acceso al Sistema.
El equipo logró entregar los 6 requisitos funcionales planificados (RF1.1 - RF1.6), cumpliendo con los objetivos establecidos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</si>
</sst>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</font>
    <font>
      <b/>
      <sz val="18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2F549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/>
    <xf numFmtId="0" fontId="4" fillId="0" borderId="0" xfId="0" applyFont="1"/>
    <xf numFmtId="0" fontId="0" fillId="0" borderId="0" xfId="0" applyFont="1" applyAlignment="1"/>
    <xf numFmtId="0" fontId="6" fillId="0" borderId="0" xfId="0" applyFont="1" applyAlignment="1"/>
    <xf numFmtId="0" fontId="8" fillId="0" borderId="1" xfId="0" applyFont="1" applyBorder="1" applyAlignment="1">
      <alignment wrapText="1"/>
    </xf>
    <xf numFmtId="0" fontId="9" fillId="0" borderId="0" xfId="0" applyFont="1" applyAlignment="1">
      <alignment vertical="center"/>
    </xf>
    <xf numFmtId="0" fontId="10" fillId="0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0" borderId="2" xfId="0" applyFont="1" applyBorder="1" applyAlignment="1"/>
    <xf numFmtId="0" fontId="4" fillId="3" borderId="3" xfId="0" applyFont="1" applyFill="1" applyBorder="1"/>
    <xf numFmtId="0" fontId="4" fillId="0" borderId="3" xfId="0" applyFont="1" applyBorder="1"/>
    <xf numFmtId="0" fontId="4" fillId="3" borderId="4" xfId="0" applyFont="1" applyFill="1" applyBorder="1"/>
    <xf numFmtId="0" fontId="4" fillId="0" borderId="4" xfId="0" applyFont="1" applyBorder="1"/>
    <xf numFmtId="0" fontId="4" fillId="0" borderId="3" xfId="0" applyFont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3" xfId="0" applyFont="1" applyBorder="1" applyAlignment="1"/>
    <xf numFmtId="0" fontId="5" fillId="0" borderId="3" xfId="0" applyFont="1" applyBorder="1" applyAlignment="1">
      <alignment horizontal="right"/>
    </xf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19</c:v>
                </c:pt>
                <c:pt idx="2">
                  <c:v>17</c:v>
                </c:pt>
                <c:pt idx="3">
                  <c:v>13</c:v>
                </c:pt>
                <c:pt idx="4">
                  <c:v>9</c:v>
                </c:pt>
                <c:pt idx="5">
                  <c:v>4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19</c:v>
                </c:pt>
                <c:pt idx="2">
                  <c:v>15.2</c:v>
                </c:pt>
                <c:pt idx="3">
                  <c:v>11.399999999999999</c:v>
                </c:pt>
                <c:pt idx="4">
                  <c:v>7.5999999999999988</c:v>
                </c:pt>
                <c:pt idx="5">
                  <c:v>3.7999999999999989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200025</xdr:colOff>
      <xdr:row>2</xdr:row>
      <xdr:rowOff>97155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7" headerRowCount="0" headerRowDxfId="1" totalsRowDxfId="0">
  <tableColumns count="1">
    <tableColumn id="1" xr3:uid="{00000000-0010-0000-0000-000001000000}" name="Column1" dataDxfId="2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zoomScale="70" zoomScaleNormal="70" workbookViewId="0">
      <selection activeCell="E8" sqref="E8"/>
    </sheetView>
  </sheetViews>
  <sheetFormatPr baseColWidth="10"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41.44140625" customWidth="1"/>
    <col min="5" max="5" width="54.44140625" customWidth="1"/>
    <col min="6" max="6" width="32.33203125" customWidth="1"/>
    <col min="7" max="26" width="12.44140625" customWidth="1"/>
  </cols>
  <sheetData>
    <row r="1" spans="1:26" ht="15.75" customHeight="1" x14ac:dyDescent="0.25">
      <c r="A1" s="10" t="s">
        <v>4</v>
      </c>
      <c r="B1" s="10" t="s">
        <v>0</v>
      </c>
      <c r="C1" s="10" t="s">
        <v>1</v>
      </c>
      <c r="D1" s="10" t="s">
        <v>5</v>
      </c>
      <c r="E1" s="10" t="s">
        <v>48</v>
      </c>
      <c r="F1" s="10" t="s">
        <v>49</v>
      </c>
      <c r="G1" s="10" t="s">
        <v>6</v>
      </c>
      <c r="H1" s="10" t="s">
        <v>16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4" x14ac:dyDescent="0.25">
      <c r="A2" s="2" t="s">
        <v>17</v>
      </c>
      <c r="B2" s="8" t="s">
        <v>24</v>
      </c>
      <c r="C2" s="8" t="s">
        <v>25</v>
      </c>
      <c r="D2" s="8" t="s">
        <v>26</v>
      </c>
      <c r="E2" s="8" t="s">
        <v>27</v>
      </c>
      <c r="F2" s="8"/>
      <c r="G2" s="8" t="s">
        <v>2</v>
      </c>
      <c r="H2" s="8" t="s">
        <v>28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4" x14ac:dyDescent="0.25">
      <c r="A3" s="2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/>
      <c r="G3" s="3" t="s">
        <v>2</v>
      </c>
      <c r="H3" s="3" t="s">
        <v>28</v>
      </c>
    </row>
    <row r="4" spans="1:26" ht="26.4" x14ac:dyDescent="0.25">
      <c r="A4" s="2" t="s">
        <v>19</v>
      </c>
      <c r="B4" s="3" t="s">
        <v>34</v>
      </c>
      <c r="C4" s="3" t="s">
        <v>35</v>
      </c>
      <c r="D4" s="3" t="s">
        <v>36</v>
      </c>
      <c r="E4" s="3" t="s">
        <v>37</v>
      </c>
      <c r="F4" s="3"/>
      <c r="G4" s="3" t="s">
        <v>2</v>
      </c>
      <c r="H4" s="3" t="s">
        <v>28</v>
      </c>
    </row>
    <row r="5" spans="1:26" ht="26.4" x14ac:dyDescent="0.25">
      <c r="A5" s="2" t="s">
        <v>38</v>
      </c>
      <c r="B5" s="3" t="s">
        <v>39</v>
      </c>
      <c r="C5" s="3" t="s">
        <v>35</v>
      </c>
      <c r="D5" s="3" t="s">
        <v>40</v>
      </c>
      <c r="E5" s="3" t="s">
        <v>41</v>
      </c>
      <c r="F5" s="3"/>
      <c r="G5" s="3" t="s">
        <v>2</v>
      </c>
      <c r="H5" s="3" t="s">
        <v>28</v>
      </c>
    </row>
    <row r="6" spans="1:26" ht="13.2" x14ac:dyDescent="0.25">
      <c r="A6" s="2" t="s">
        <v>21</v>
      </c>
      <c r="B6" s="3" t="s">
        <v>42</v>
      </c>
      <c r="C6" s="3" t="s">
        <v>35</v>
      </c>
      <c r="D6" s="3" t="s">
        <v>43</v>
      </c>
      <c r="E6" s="3" t="s">
        <v>44</v>
      </c>
      <c r="F6" s="3"/>
      <c r="G6" s="3" t="s">
        <v>3</v>
      </c>
      <c r="H6" s="3" t="s">
        <v>28</v>
      </c>
    </row>
    <row r="7" spans="1:26" ht="26.4" x14ac:dyDescent="0.25">
      <c r="A7" s="2" t="s">
        <v>22</v>
      </c>
      <c r="B7" s="8" t="s">
        <v>45</v>
      </c>
      <c r="C7" s="8" t="s">
        <v>35</v>
      </c>
      <c r="D7" s="8" t="s">
        <v>46</v>
      </c>
      <c r="E7" s="8" t="s">
        <v>47</v>
      </c>
      <c r="F7" s="8"/>
      <c r="G7" s="8" t="s">
        <v>2</v>
      </c>
      <c r="H7" s="8" t="s">
        <v>28</v>
      </c>
    </row>
    <row r="8" spans="1:26" ht="15.75" customHeight="1" x14ac:dyDescent="0.25">
      <c r="A8" s="2" t="s">
        <v>50</v>
      </c>
      <c r="B8" s="8" t="s">
        <v>51</v>
      </c>
      <c r="C8" s="8" t="s">
        <v>35</v>
      </c>
      <c r="D8" s="8" t="s">
        <v>52</v>
      </c>
      <c r="E8" s="8" t="s">
        <v>53</v>
      </c>
      <c r="F8" s="8"/>
      <c r="G8" s="8" t="s">
        <v>2</v>
      </c>
      <c r="H8" s="8" t="s">
        <v>28</v>
      </c>
    </row>
    <row r="9" spans="1:26" ht="15.75" customHeight="1" x14ac:dyDescent="0.25">
      <c r="A9" s="2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/>
      <c r="G9" s="3" t="s">
        <v>2</v>
      </c>
      <c r="H9" s="3" t="s">
        <v>28</v>
      </c>
    </row>
    <row r="10" spans="1:26" ht="15.75" customHeight="1" x14ac:dyDescent="0.25">
      <c r="A10" s="2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3"/>
      <c r="G10" s="3" t="s">
        <v>3</v>
      </c>
      <c r="H10" s="3" t="s">
        <v>28</v>
      </c>
    </row>
    <row r="11" spans="1:26" ht="15.75" customHeight="1" x14ac:dyDescent="0.25">
      <c r="A11" s="2" t="s">
        <v>64</v>
      </c>
      <c r="B11" s="3" t="s">
        <v>65</v>
      </c>
      <c r="C11" s="3" t="s">
        <v>31</v>
      </c>
      <c r="D11" s="3" t="s">
        <v>66</v>
      </c>
      <c r="E11" s="3" t="s">
        <v>67</v>
      </c>
      <c r="F11" s="3"/>
      <c r="G11" s="3" t="s">
        <v>2</v>
      </c>
      <c r="H11" s="3" t="s">
        <v>28</v>
      </c>
    </row>
    <row r="12" spans="1:26" ht="15.75" customHeight="1" x14ac:dyDescent="0.25">
      <c r="A12" s="2" t="s">
        <v>68</v>
      </c>
      <c r="B12" s="3" t="s">
        <v>69</v>
      </c>
      <c r="C12" s="3" t="s">
        <v>25</v>
      </c>
      <c r="D12" s="3" t="s">
        <v>70</v>
      </c>
      <c r="E12" s="3" t="s">
        <v>71</v>
      </c>
      <c r="F12" s="3"/>
      <c r="G12" s="3" t="s">
        <v>2</v>
      </c>
      <c r="H12" s="3" t="s">
        <v>28</v>
      </c>
    </row>
    <row r="13" spans="1:26" ht="15.75" customHeight="1" x14ac:dyDescent="0.25">
      <c r="A13" s="2" t="s">
        <v>72</v>
      </c>
      <c r="B13" s="8" t="s">
        <v>73</v>
      </c>
      <c r="C13" s="8" t="s">
        <v>25</v>
      </c>
      <c r="D13" s="8" t="s">
        <v>74</v>
      </c>
      <c r="E13" s="8" t="s">
        <v>75</v>
      </c>
      <c r="F13" s="8"/>
      <c r="G13" s="8" t="s">
        <v>3</v>
      </c>
      <c r="H13" s="8" t="s">
        <v>28</v>
      </c>
    </row>
    <row r="14" spans="1:26" ht="15.75" customHeight="1" x14ac:dyDescent="0.25">
      <c r="A14" s="2" t="s">
        <v>76</v>
      </c>
      <c r="B14" s="8" t="s">
        <v>77</v>
      </c>
      <c r="C14" s="8" t="s">
        <v>25</v>
      </c>
      <c r="D14" s="8" t="s">
        <v>78</v>
      </c>
      <c r="E14" s="8" t="s">
        <v>79</v>
      </c>
      <c r="F14" s="8"/>
      <c r="G14" s="8" t="s">
        <v>2</v>
      </c>
      <c r="H14" s="8" t="s">
        <v>28</v>
      </c>
    </row>
    <row r="15" spans="1:26" ht="15.75" customHeight="1" x14ac:dyDescent="0.25">
      <c r="A15" s="2" t="s">
        <v>80</v>
      </c>
      <c r="B15" s="3" t="s">
        <v>81</v>
      </c>
      <c r="C15" s="3" t="s">
        <v>25</v>
      </c>
      <c r="D15" s="3" t="s">
        <v>82</v>
      </c>
      <c r="E15" s="3" t="s">
        <v>83</v>
      </c>
      <c r="F15" s="3"/>
      <c r="G15" s="3" t="s">
        <v>3</v>
      </c>
      <c r="H15" s="3" t="s">
        <v>28</v>
      </c>
    </row>
    <row r="16" spans="1:26" ht="15.75" customHeight="1" x14ac:dyDescent="0.25">
      <c r="A16" s="2" t="s">
        <v>84</v>
      </c>
      <c r="B16" s="3" t="s">
        <v>85</v>
      </c>
      <c r="C16" s="3" t="s">
        <v>31</v>
      </c>
      <c r="D16" s="3" t="s">
        <v>86</v>
      </c>
      <c r="E16" s="3" t="s">
        <v>87</v>
      </c>
      <c r="F16" s="3"/>
      <c r="G16" s="3" t="s">
        <v>2</v>
      </c>
      <c r="H16" s="3" t="s">
        <v>28</v>
      </c>
    </row>
    <row r="17" spans="1:8" ht="15.75" customHeight="1" x14ac:dyDescent="0.25">
      <c r="A17" s="2" t="s">
        <v>88</v>
      </c>
      <c r="B17" s="3" t="s">
        <v>89</v>
      </c>
      <c r="C17" s="3" t="s">
        <v>31</v>
      </c>
      <c r="D17" s="3" t="s">
        <v>90</v>
      </c>
      <c r="E17" s="3" t="s">
        <v>91</v>
      </c>
      <c r="F17" s="3"/>
      <c r="G17" s="3" t="s">
        <v>2</v>
      </c>
      <c r="H17" s="3" t="s">
        <v>28</v>
      </c>
    </row>
    <row r="18" spans="1:8" ht="15.75" customHeight="1" x14ac:dyDescent="0.25">
      <c r="A18" s="2" t="s">
        <v>92</v>
      </c>
      <c r="B18" s="3" t="s">
        <v>93</v>
      </c>
      <c r="C18" s="3" t="s">
        <v>94</v>
      </c>
      <c r="D18" s="3" t="s">
        <v>95</v>
      </c>
      <c r="E18" s="3" t="s">
        <v>96</v>
      </c>
      <c r="F18" s="3"/>
      <c r="G18" s="3" t="s">
        <v>2</v>
      </c>
      <c r="H18" s="3" t="s">
        <v>28</v>
      </c>
    </row>
    <row r="19" spans="1:8" ht="15.75" customHeight="1" x14ac:dyDescent="0.25">
      <c r="A19" s="2" t="s">
        <v>97</v>
      </c>
      <c r="B19" s="8" t="s">
        <v>98</v>
      </c>
      <c r="C19" s="8" t="s">
        <v>94</v>
      </c>
      <c r="D19" s="8" t="s">
        <v>99</v>
      </c>
      <c r="E19" s="8" t="s">
        <v>100</v>
      </c>
      <c r="F19" s="8"/>
      <c r="G19" s="8" t="s">
        <v>3</v>
      </c>
      <c r="H19" s="8" t="s">
        <v>28</v>
      </c>
    </row>
    <row r="20" spans="1:8" ht="15.75" customHeight="1" x14ac:dyDescent="0.25">
      <c r="A20" s="2" t="s">
        <v>101</v>
      </c>
      <c r="B20" s="8" t="s">
        <v>102</v>
      </c>
      <c r="C20" s="8" t="s">
        <v>94</v>
      </c>
      <c r="D20" s="8" t="s">
        <v>103</v>
      </c>
      <c r="E20" s="8" t="s">
        <v>104</v>
      </c>
      <c r="F20" s="8"/>
      <c r="G20" s="8" t="s">
        <v>3</v>
      </c>
      <c r="H20" s="8" t="s">
        <v>28</v>
      </c>
    </row>
    <row r="21" spans="1:8" ht="15.75" customHeight="1" x14ac:dyDescent="0.25">
      <c r="A21" s="2" t="s">
        <v>105</v>
      </c>
      <c r="B21" s="3" t="s">
        <v>106</v>
      </c>
      <c r="C21" s="3" t="s">
        <v>35</v>
      </c>
      <c r="D21" s="3" t="s">
        <v>107</v>
      </c>
      <c r="E21" s="3" t="s">
        <v>108</v>
      </c>
      <c r="F21" s="3"/>
      <c r="G21" s="3" t="s">
        <v>2</v>
      </c>
      <c r="H21" s="3" t="s">
        <v>28</v>
      </c>
    </row>
    <row r="22" spans="1:8" ht="15.75" customHeight="1" x14ac:dyDescent="0.25">
      <c r="A22" s="2" t="s">
        <v>109</v>
      </c>
      <c r="B22" s="3" t="s">
        <v>110</v>
      </c>
      <c r="C22" s="3" t="s">
        <v>111</v>
      </c>
      <c r="D22" s="3" t="s">
        <v>112</v>
      </c>
      <c r="E22" s="3" t="s">
        <v>113</v>
      </c>
      <c r="F22" s="3"/>
      <c r="G22" s="3" t="s">
        <v>3</v>
      </c>
      <c r="H22" s="3" t="s">
        <v>28</v>
      </c>
    </row>
    <row r="23" spans="1:8" ht="15.75" customHeight="1" x14ac:dyDescent="0.25">
      <c r="A23" s="2" t="s">
        <v>114</v>
      </c>
      <c r="B23" s="3" t="s">
        <v>115</v>
      </c>
      <c r="C23" s="3" t="s">
        <v>56</v>
      </c>
      <c r="D23" s="3" t="s">
        <v>116</v>
      </c>
      <c r="E23" s="3" t="s">
        <v>117</v>
      </c>
      <c r="F23" s="3"/>
      <c r="G23" s="3" t="s">
        <v>3</v>
      </c>
      <c r="H23" s="3" t="s">
        <v>28</v>
      </c>
    </row>
    <row r="24" spans="1:8" ht="15.75" customHeight="1" x14ac:dyDescent="0.25">
      <c r="A24" s="2" t="s">
        <v>118</v>
      </c>
      <c r="B24" s="3" t="s">
        <v>119</v>
      </c>
      <c r="C24" s="3" t="s">
        <v>25</v>
      </c>
      <c r="D24" s="3" t="s">
        <v>120</v>
      </c>
      <c r="E24" s="3" t="s">
        <v>121</v>
      </c>
      <c r="F24" s="3"/>
      <c r="G24" s="3" t="s">
        <v>2</v>
      </c>
      <c r="H24" s="3" t="s">
        <v>28</v>
      </c>
    </row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spans="2:2" ht="15.75" customHeight="1" x14ac:dyDescent="0.25"/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>
      <c r="B44" s="9" t="s">
        <v>122</v>
      </c>
    </row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64"/>
  <sheetViews>
    <sheetView workbookViewId="0">
      <selection activeCell="B5" sqref="B5:B10"/>
    </sheetView>
  </sheetViews>
  <sheetFormatPr baseColWidth="10" defaultColWidth="12.6640625" defaultRowHeight="15" customHeight="1" x14ac:dyDescent="0.25"/>
  <cols>
    <col min="1" max="2" width="12.44140625" customWidth="1"/>
    <col min="3" max="4" width="18.88671875" customWidth="1"/>
    <col min="5" max="5" width="20.44140625" customWidth="1"/>
    <col min="6" max="6" width="36.88671875" customWidth="1"/>
    <col min="7" max="7" width="12.44140625" customWidth="1"/>
    <col min="8" max="8" width="16.109375" customWidth="1"/>
    <col min="9" max="10" width="12.44140625" customWidth="1"/>
    <col min="11" max="11" width="16.77734375" bestFit="1" customWidth="1"/>
    <col min="12" max="27" width="12.44140625" customWidth="1"/>
  </cols>
  <sheetData>
    <row r="1" spans="1:27" ht="15.75" customHeight="1" x14ac:dyDescent="0.25"/>
    <row r="2" spans="1:27" ht="15.75" customHeight="1" x14ac:dyDescent="0.25">
      <c r="B2" s="9" t="s">
        <v>122</v>
      </c>
    </row>
    <row r="3" spans="1:27" ht="15.75" customHeight="1" x14ac:dyDescent="0.25"/>
    <row r="4" spans="1:27" ht="31.5" customHeight="1" x14ac:dyDescent="0.25">
      <c r="A4" s="4"/>
      <c r="B4" s="11" t="s">
        <v>4</v>
      </c>
      <c r="C4" s="11" t="s">
        <v>0</v>
      </c>
      <c r="D4" s="11" t="s">
        <v>1</v>
      </c>
      <c r="E4" s="11" t="s">
        <v>5</v>
      </c>
      <c r="F4" s="11" t="s">
        <v>48</v>
      </c>
      <c r="G4" s="11" t="s">
        <v>123</v>
      </c>
      <c r="H4" s="11" t="s">
        <v>49</v>
      </c>
      <c r="I4" s="11" t="s">
        <v>6</v>
      </c>
      <c r="J4" s="11" t="s">
        <v>16</v>
      </c>
      <c r="K4" s="11" t="s">
        <v>125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9.6" x14ac:dyDescent="0.25">
      <c r="A5" s="4"/>
      <c r="B5" s="13" t="s">
        <v>17</v>
      </c>
      <c r="C5" s="12" t="s">
        <v>24</v>
      </c>
      <c r="D5" s="12" t="s">
        <v>25</v>
      </c>
      <c r="E5" s="12" t="s">
        <v>26</v>
      </c>
      <c r="F5" s="12" t="s">
        <v>27</v>
      </c>
      <c r="G5" s="12" t="s">
        <v>18</v>
      </c>
      <c r="H5" s="12"/>
      <c r="I5" s="12" t="s">
        <v>2</v>
      </c>
      <c r="J5" s="12" t="s">
        <v>28</v>
      </c>
      <c r="K5" s="12">
        <v>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52.8" x14ac:dyDescent="0.25">
      <c r="A6" s="4"/>
      <c r="B6" s="13" t="s">
        <v>29</v>
      </c>
      <c r="C6" s="12" t="s">
        <v>30</v>
      </c>
      <c r="D6" s="12" t="s">
        <v>31</v>
      </c>
      <c r="E6" s="12" t="s">
        <v>32</v>
      </c>
      <c r="F6" s="12" t="s">
        <v>33</v>
      </c>
      <c r="G6" s="12" t="s">
        <v>23</v>
      </c>
      <c r="H6" s="12"/>
      <c r="I6" s="12" t="s">
        <v>2</v>
      </c>
      <c r="J6" s="12" t="s">
        <v>28</v>
      </c>
      <c r="K6" s="12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9.6" x14ac:dyDescent="0.25">
      <c r="A7" s="4"/>
      <c r="B7" s="13" t="s">
        <v>19</v>
      </c>
      <c r="C7" s="12" t="s">
        <v>34</v>
      </c>
      <c r="D7" s="12" t="s">
        <v>35</v>
      </c>
      <c r="E7" s="12" t="s">
        <v>36</v>
      </c>
      <c r="F7" s="12" t="s">
        <v>37</v>
      </c>
      <c r="G7" s="12" t="s">
        <v>20</v>
      </c>
      <c r="H7" s="12"/>
      <c r="I7" s="12" t="s">
        <v>2</v>
      </c>
      <c r="J7" s="12" t="s">
        <v>28</v>
      </c>
      <c r="K7" s="12"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9.6" x14ac:dyDescent="0.25">
      <c r="A8" s="4"/>
      <c r="B8" s="13" t="s">
        <v>38</v>
      </c>
      <c r="C8" s="12" t="s">
        <v>39</v>
      </c>
      <c r="D8" s="12" t="s">
        <v>35</v>
      </c>
      <c r="E8" s="12" t="s">
        <v>40</v>
      </c>
      <c r="F8" s="12" t="s">
        <v>41</v>
      </c>
      <c r="G8" s="12" t="s">
        <v>124</v>
      </c>
      <c r="H8" s="12"/>
      <c r="I8" s="12" t="s">
        <v>2</v>
      </c>
      <c r="J8" s="12" t="s">
        <v>28</v>
      </c>
      <c r="K8" s="12">
        <v>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6.4" x14ac:dyDescent="0.25">
      <c r="B9" s="13" t="s">
        <v>21</v>
      </c>
      <c r="C9" s="12" t="s">
        <v>42</v>
      </c>
      <c r="D9" s="12" t="s">
        <v>35</v>
      </c>
      <c r="E9" s="12" t="s">
        <v>43</v>
      </c>
      <c r="F9" s="12" t="s">
        <v>44</v>
      </c>
      <c r="G9" s="12" t="s">
        <v>18</v>
      </c>
      <c r="H9" s="12"/>
      <c r="I9" s="12" t="s">
        <v>3</v>
      </c>
      <c r="J9" s="12" t="s">
        <v>28</v>
      </c>
      <c r="K9" s="12">
        <v>2</v>
      </c>
    </row>
    <row r="10" spans="1:27" ht="39" customHeight="1" x14ac:dyDescent="0.25">
      <c r="B10" s="13" t="s">
        <v>22</v>
      </c>
      <c r="C10" s="12" t="s">
        <v>45</v>
      </c>
      <c r="D10" s="12" t="s">
        <v>35</v>
      </c>
      <c r="E10" s="12" t="s">
        <v>46</v>
      </c>
      <c r="F10" s="12" t="s">
        <v>47</v>
      </c>
      <c r="G10" s="12" t="s">
        <v>23</v>
      </c>
      <c r="H10" s="12"/>
      <c r="I10" s="12" t="s">
        <v>2</v>
      </c>
      <c r="J10" s="12" t="s">
        <v>28</v>
      </c>
      <c r="K10" s="12">
        <v>5</v>
      </c>
    </row>
    <row r="11" spans="1:27" ht="13.2" x14ac:dyDescent="0.25"/>
    <row r="12" spans="1:27" ht="15.75" customHeight="1" x14ac:dyDescent="0.25"/>
    <row r="13" spans="1:27" ht="15.75" customHeight="1" x14ac:dyDescent="0.25">
      <c r="B13" s="7"/>
    </row>
    <row r="14" spans="1:27" ht="15.75" customHeight="1" x14ac:dyDescent="0.25"/>
    <row r="15" spans="1:27" ht="15.75" customHeight="1" x14ac:dyDescent="0.25"/>
    <row r="16" spans="1:2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Q985"/>
  <sheetViews>
    <sheetView tabSelected="1" zoomScale="85" zoomScaleNormal="85" workbookViewId="0">
      <selection activeCell="G25" sqref="G25"/>
    </sheetView>
  </sheetViews>
  <sheetFormatPr baseColWidth="10" defaultColWidth="12.664062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5"/>
      <c r="C3" s="16" t="s">
        <v>7</v>
      </c>
      <c r="D3" s="16" t="s">
        <v>8</v>
      </c>
      <c r="E3" s="16" t="s">
        <v>9</v>
      </c>
      <c r="F3" s="16" t="s">
        <v>10</v>
      </c>
      <c r="G3" s="16" t="s">
        <v>11</v>
      </c>
      <c r="H3" s="16" t="s">
        <v>12</v>
      </c>
      <c r="I3" s="16" t="s">
        <v>13</v>
      </c>
    </row>
    <row r="4" spans="2:9" ht="15.75" customHeight="1" x14ac:dyDescent="0.25">
      <c r="B4" s="13" t="s">
        <v>17</v>
      </c>
      <c r="C4" s="12">
        <v>4</v>
      </c>
      <c r="D4" s="19">
        <v>0</v>
      </c>
      <c r="E4" s="19">
        <v>0</v>
      </c>
      <c r="F4" s="19">
        <v>1</v>
      </c>
      <c r="G4" s="19">
        <v>0</v>
      </c>
      <c r="H4" s="19">
        <v>4</v>
      </c>
      <c r="I4" s="20">
        <v>4</v>
      </c>
    </row>
    <row r="5" spans="2:9" ht="15.75" customHeight="1" x14ac:dyDescent="0.25">
      <c r="B5" s="13" t="s">
        <v>29</v>
      </c>
      <c r="C5" s="12">
        <v>3</v>
      </c>
      <c r="D5" s="19">
        <v>0</v>
      </c>
      <c r="E5" s="19">
        <v>0</v>
      </c>
      <c r="F5" s="19">
        <v>0</v>
      </c>
      <c r="G5" s="19">
        <v>2</v>
      </c>
      <c r="H5" s="19">
        <v>1</v>
      </c>
      <c r="I5" s="20">
        <v>3</v>
      </c>
    </row>
    <row r="6" spans="2:9" ht="15.75" customHeight="1" x14ac:dyDescent="0.25">
      <c r="B6" s="13" t="s">
        <v>19</v>
      </c>
      <c r="C6" s="12">
        <v>2</v>
      </c>
      <c r="D6" s="19">
        <v>0</v>
      </c>
      <c r="E6" s="21">
        <v>0</v>
      </c>
      <c r="F6" s="21">
        <v>1</v>
      </c>
      <c r="G6" s="21">
        <v>1</v>
      </c>
      <c r="H6" s="21">
        <v>0</v>
      </c>
      <c r="I6" s="21">
        <v>2</v>
      </c>
    </row>
    <row r="7" spans="2:9" ht="15.75" customHeight="1" x14ac:dyDescent="0.25">
      <c r="B7" s="13" t="s">
        <v>38</v>
      </c>
      <c r="C7" s="12">
        <v>3</v>
      </c>
      <c r="D7" s="19">
        <v>0</v>
      </c>
      <c r="E7" s="21">
        <v>0</v>
      </c>
      <c r="F7" s="21">
        <v>2</v>
      </c>
      <c r="G7" s="21">
        <v>2</v>
      </c>
      <c r="H7" s="21">
        <v>0</v>
      </c>
      <c r="I7" s="21">
        <v>4</v>
      </c>
    </row>
    <row r="8" spans="2:9" ht="15.75" customHeight="1" x14ac:dyDescent="0.25">
      <c r="B8" s="13" t="s">
        <v>21</v>
      </c>
      <c r="C8" s="12">
        <v>2</v>
      </c>
      <c r="D8" s="19">
        <v>0</v>
      </c>
      <c r="E8" s="21">
        <v>1</v>
      </c>
      <c r="F8" s="21">
        <v>0</v>
      </c>
      <c r="G8" s="21">
        <v>0</v>
      </c>
      <c r="H8" s="21">
        <v>0</v>
      </c>
      <c r="I8" s="21">
        <v>1</v>
      </c>
    </row>
    <row r="9" spans="2:9" ht="15.75" customHeight="1" x14ac:dyDescent="0.25">
      <c r="B9" s="13" t="s">
        <v>22</v>
      </c>
      <c r="C9" s="12">
        <v>5</v>
      </c>
      <c r="D9" s="22">
        <v>2</v>
      </c>
      <c r="E9" s="21">
        <v>3</v>
      </c>
      <c r="F9" s="21">
        <v>0</v>
      </c>
      <c r="G9" s="21">
        <v>0</v>
      </c>
      <c r="H9" s="21">
        <v>0</v>
      </c>
      <c r="I9" s="21">
        <v>5</v>
      </c>
    </row>
    <row r="10" spans="2:9" ht="15.75" customHeight="1" x14ac:dyDescent="0.25">
      <c r="B10" s="17" t="s">
        <v>14</v>
      </c>
      <c r="C10" s="18">
        <f>SUM(C4:C9)</f>
        <v>19</v>
      </c>
      <c r="D10" s="18">
        <f>C10-SUM(D4:D9)</f>
        <v>17</v>
      </c>
      <c r="E10" s="18">
        <f>D10-SUM(E4:E9)</f>
        <v>13</v>
      </c>
      <c r="F10" s="18">
        <f>E10-SUM(F4:F9)</f>
        <v>9</v>
      </c>
      <c r="G10" s="18">
        <f>F10-SUM(G4:G9)</f>
        <v>4</v>
      </c>
      <c r="H10" s="18">
        <f>G10-SUM(H4:H9)</f>
        <v>-1</v>
      </c>
      <c r="I10" s="14"/>
    </row>
    <row r="11" spans="2:9" ht="15.75" customHeight="1" x14ac:dyDescent="0.25">
      <c r="B11" s="15" t="s">
        <v>15</v>
      </c>
      <c r="C11" s="16">
        <f>SUM(C4:C9)</f>
        <v>19</v>
      </c>
      <c r="D11" s="16">
        <f>C11-(SUM(C4:C9)/5)</f>
        <v>15.2</v>
      </c>
      <c r="E11" s="16">
        <f>D11-(SUM(C4:C9)/5)</f>
        <v>11.399999999999999</v>
      </c>
      <c r="F11" s="16">
        <f>E11-(SUM(C4:C9)/5)</f>
        <v>7.5999999999999988</v>
      </c>
      <c r="G11" s="16">
        <f>F11-(SUM(C4:C9)/5)</f>
        <v>3.7999999999999989</v>
      </c>
      <c r="H11" s="16">
        <f>G11-(SUM(C4:C9)/5)</f>
        <v>0</v>
      </c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>
      <c r="B15" s="23" t="s">
        <v>126</v>
      </c>
      <c r="C15" s="6"/>
      <c r="D15" s="6"/>
      <c r="E15" s="6"/>
      <c r="F15" s="6"/>
      <c r="G15" s="6"/>
    </row>
    <row r="16" spans="2:9" ht="15.75" customHeight="1" x14ac:dyDescent="0.25">
      <c r="B16" s="6"/>
      <c r="C16" s="6"/>
      <c r="D16" s="6"/>
      <c r="E16" s="6"/>
      <c r="F16" s="6"/>
      <c r="G16" s="6"/>
    </row>
    <row r="17" spans="2:17" ht="15.75" customHeight="1" x14ac:dyDescent="0.25">
      <c r="B17" s="6"/>
      <c r="C17" s="6"/>
      <c r="D17" s="6"/>
      <c r="E17" s="6"/>
      <c r="F17" s="6"/>
      <c r="G17" s="6"/>
    </row>
    <row r="18" spans="2:17" ht="15.75" customHeight="1" x14ac:dyDescent="0.25">
      <c r="B18" s="6"/>
      <c r="C18" s="6"/>
      <c r="D18" s="6"/>
      <c r="E18" s="6"/>
      <c r="F18" s="6"/>
      <c r="G18" s="6"/>
    </row>
    <row r="19" spans="2:17" ht="15.75" customHeight="1" x14ac:dyDescent="0.25">
      <c r="B19" s="6"/>
      <c r="C19" s="6"/>
      <c r="D19" s="6"/>
      <c r="E19" s="6"/>
      <c r="F19" s="6"/>
      <c r="G19" s="6"/>
    </row>
    <row r="20" spans="2:17" ht="15.75" customHeight="1" x14ac:dyDescent="0.25">
      <c r="B20" s="6"/>
      <c r="C20" s="6"/>
      <c r="D20" s="6"/>
      <c r="E20" s="6"/>
      <c r="F20" s="6"/>
      <c r="G20" s="6"/>
    </row>
    <row r="21" spans="2:17" ht="15.75" customHeight="1" x14ac:dyDescent="0.25">
      <c r="B21" s="6"/>
      <c r="C21" s="6"/>
      <c r="D21" s="6"/>
      <c r="E21" s="6"/>
      <c r="F21" s="6"/>
      <c r="G21" s="6"/>
    </row>
    <row r="22" spans="2:17" ht="15.75" customHeight="1" x14ac:dyDescent="0.25">
      <c r="B22" s="6"/>
      <c r="C22" s="6"/>
      <c r="D22" s="6"/>
      <c r="E22" s="6"/>
      <c r="F22" s="6"/>
      <c r="G22" s="6"/>
    </row>
    <row r="23" spans="2:17" ht="15.75" customHeight="1" x14ac:dyDescent="0.25">
      <c r="Q23" t="e">
        <f>-B15</f>
        <v>#VALUE!</v>
      </c>
    </row>
    <row r="24" spans="2:17" ht="15.75" customHeight="1" x14ac:dyDescent="0.25"/>
    <row r="25" spans="2:17" ht="15.75" customHeight="1" x14ac:dyDescent="0.25"/>
    <row r="26" spans="2:17" ht="15.75" customHeight="1" x14ac:dyDescent="0.25"/>
    <row r="27" spans="2:17" ht="15.75" customHeight="1" x14ac:dyDescent="0.25"/>
    <row r="28" spans="2:17" ht="15.75" customHeight="1" x14ac:dyDescent="0.25"/>
    <row r="29" spans="2:17" ht="15.75" customHeight="1" x14ac:dyDescent="0.25"/>
    <row r="30" spans="2:17" ht="15.75" customHeight="1" x14ac:dyDescent="0.25"/>
    <row r="31" spans="2:17" ht="15.75" customHeight="1" x14ac:dyDescent="0.25"/>
    <row r="32" spans="2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1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Manangón</cp:lastModifiedBy>
  <dcterms:created xsi:type="dcterms:W3CDTF">2023-06-05T13:12:31Z</dcterms:created>
  <dcterms:modified xsi:type="dcterms:W3CDTF">2025-12-11T02:36:36Z</dcterms:modified>
</cp:coreProperties>
</file>