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ato descripción HU" sheetId="1" r:id="rId4"/>
    <sheet state="visible" name="Historia de Usuario" sheetId="2" r:id="rId5"/>
  </sheets>
  <definedNames/>
  <calcPr/>
</workbook>
</file>

<file path=xl/sharedStrings.xml><?xml version="1.0" encoding="utf-8"?>
<sst xmlns="http://schemas.openxmlformats.org/spreadsheetml/2006/main" count="285" uniqueCount="192">
  <si>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</si>
  <si>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</si>
  <si>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</si>
  <si>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</si>
  <si>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</si>
  <si>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</si>
  <si>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</si>
  <si>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</si>
  <si>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</si>
  <si>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</si>
  <si>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</si>
  <si>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</si>
  <si>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</si>
  <si>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</si>
  <si>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</si>
  <si>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RF1.1</t>
  </si>
  <si>
    <t>Permitir registrar nuevos clientes en el sistema.</t>
  </si>
  <si>
    <t>El cliente necesita registrarse en el sistema de manera segura.</t>
  </si>
  <si>
    <t>Registrar al cliente y validar sus credenciales.</t>
  </si>
  <si>
    <t>Cliente</t>
  </si>
  <si>
    <t>Recibir credenciales, validar correo (formato y unicidad), validar contraseña (segura), registrar cuenta, enviar confirmación.</t>
  </si>
  <si>
    <t>Equipo de desarrollo</t>
  </si>
  <si>
    <t>Alta</t>
  </si>
  <si>
    <t>No iniciado</t>
  </si>
  <si>
    <t>Verificar que el cliente pueda iniciar sesión con sus credenciales y que las validaciones de datos se apliquen correctamente.</t>
  </si>
  <si>
    <t>Se debe garantizar seguridad de acceso (RNF-01) y facilidad de uso (RNF-03).</t>
  </si>
  <si>
    <t>Registrar Cliente</t>
  </si>
  <si>
    <t>RF1.2</t>
  </si>
  <si>
    <t>Permitir registrar nuevos asistentes por parte del gerente.</t>
  </si>
  <si>
    <t>El gerente necesita registrar nuevos asistentes para gestión de pagos.</t>
  </si>
  <si>
    <t>Permitir al gerente el registro manual de un nuevo asistente.</t>
  </si>
  <si>
    <t>Gerente</t>
  </si>
  <si>
    <t>Ingreso de datos (nombre, correo, contraseña temporal), validar datos (formato y unicidad de correo), registrar asistente, enviar correo de confirmación.</t>
  </si>
  <si>
    <t>El asistente debe poder iniciar sesión tras la activación de su cuenta Verificar que solo el Gerente pueda acceder.</t>
  </si>
  <si>
    <t xml:space="preserve">Solo el gerente puede acceder. </t>
  </si>
  <si>
    <t>Registrar Nuevo Asistente</t>
  </si>
  <si>
    <t>RF1.3</t>
  </si>
  <si>
    <t>Permitir inicio de sesión seguro.</t>
  </si>
  <si>
    <t>El usuario necesita acceder al sistema según su rol.</t>
  </si>
  <si>
    <t>Permitir inicio de sesión con validación de credenciales.</t>
  </si>
  <si>
    <t>Cliente, Asistente, Gerente</t>
  </si>
  <si>
    <t>Ingreso de correo y contraseña, validar existencia de usuario y exactitud de contraseña, identificar rol, redirigir a interfaz respectiva.</t>
  </si>
  <si>
    <t>Verificar que solo usuarios con credenciales válidas accedan</t>
  </si>
  <si>
    <t>Se extiende con "Recuperar Contraseña" si el usuario lo solicita.</t>
  </si>
  <si>
    <t>Iniciar Sesión</t>
  </si>
  <si>
    <t>RF1.4</t>
  </si>
  <si>
    <t>Permitir recuperar contraseña olvidada.</t>
  </si>
  <si>
    <t>El usuario olvidó su contraseña y necesita restablecerla.</t>
  </si>
  <si>
    <t>Ofrecer un mecanismo seguro para recuperar la contraseña.</t>
  </si>
  <si>
    <t>Solicitar correo, verificar existencia, enviar código/enlace de recuperación (con expiración), permitir definir nueva contraseña tras validación.</t>
  </si>
  <si>
    <t>Verificar que solo se pueda restablecer la contraseña tras la validación por correo y que el usuario pueda iniciar sesión con la nueva.</t>
  </si>
  <si>
    <t>El código/enlace dura activo un tiempo limitado</t>
  </si>
  <si>
    <t>Recuperar Contraseña</t>
  </si>
  <si>
    <t>RF1.5</t>
  </si>
  <si>
    <t>Salir del sistema de forma segura</t>
  </si>
  <si>
    <t>El usuario necesita salir del sistema de forma segura.</t>
  </si>
  <si>
    <t>Permitir a cualquier usuario autenticado cerrar su sesión.</t>
  </si>
  <si>
    <t>Clic en "Cerrar sesión", invalidar sesión activa y eliminar tokens de acceso, redirigir a la pantalla de inicio de sesión.</t>
  </si>
  <si>
    <t>El usuario debe ser redirigido a la pantalla de inicio de sesión y no poder acceder a funcionalidades restringidas.</t>
  </si>
  <si>
    <t>La opción debe estar disponible en todas las vistas.</t>
  </si>
  <si>
    <t>Cerrar Sesión</t>
  </si>
  <si>
    <t>RF1.6</t>
  </si>
  <si>
    <t>Acceder Dashboard</t>
  </si>
  <si>
    <t>El usuario necesita una vista inicial con información relevante a su rol.</t>
  </si>
  <si>
    <t>Presentar un Dashboard personalizado tras el inicio de sesión.</t>
  </si>
  <si>
    <t>Identificar el rol del usuario, redirigir a su Dashboard particular (Cliente, Assistant o Manager), cargar y mostrar datos resumidos según el rol.</t>
  </si>
  <si>
    <t>El usuario debe ver su dashboard específico al iniciar sesión con la información clave de su rol.</t>
  </si>
  <si>
    <t>El Dashboard debe ser responsive y ofrecer enlaces directos a casos de uso principales.</t>
  </si>
  <si>
    <t>RF-2</t>
  </si>
  <si>
    <t>Registrar Comprobante de Pago</t>
  </si>
  <si>
    <t>Se necesita registrar y validar comprobantes de pago de créditos.</t>
  </si>
  <si>
    <t>Permitir el registro de comprobantes y validación de duplicados/validez.</t>
  </si>
  <si>
    <t>Ingresar datos (referencia, fecha, monto, etc.) y adjunto opcional. Validar integridad y unicidad de la información. Asociar pago a cuotas, actualizar saldos,</t>
  </si>
  <si>
    <t>Verificar que el comprobante se registre correctamente, los saldos se actualicen y se genere el acuse con número único.</t>
  </si>
  <si>
    <t>La validación puede integrarse con pasarelas/bancos para confirmar la transacción.</t>
  </si>
  <si>
    <t>RF-3</t>
  </si>
  <si>
    <t>RF-4</t>
  </si>
  <si>
    <t>RF-5.1</t>
  </si>
  <si>
    <t>Otorgar crédito a clientes registrados.</t>
  </si>
  <si>
    <t>Asignar crédito al cliente seleccionado.</t>
  </si>
  <si>
    <t>Gestionar créditos activos.</t>
  </si>
  <si>
    <t>Datos del cliente</t>
  </si>
  <si>
    <t>1.0</t>
  </si>
  <si>
    <t>Si el cliente tiene pagos vencidos, bloquear acción.</t>
  </si>
  <si>
    <t>Solo gerente autorizado.</t>
  </si>
  <si>
    <t>Otorgar crédito</t>
  </si>
  <si>
    <t>RF-5.2</t>
  </si>
  <si>
    <t>Permitir pagos en línea.</t>
  </si>
  <si>
    <t>Procesar pago mediante tarjeta o transferencia.</t>
  </si>
  <si>
    <t>Facilitar pago digital al cliente.</t>
  </si>
  <si>
    <t>Datos de pago</t>
  </si>
  <si>
    <t>Si los datos son incorrectos, mostrar error.</t>
  </si>
  <si>
    <t>Pasarela debe ser segura.</t>
  </si>
  <si>
    <t>Pago en línea</t>
  </si>
  <si>
    <t>RF-5.3</t>
  </si>
  <si>
    <t>Consultar condiciones de crédito activo.</t>
  </si>
  <si>
    <t>Mostrar monto, interés y cuotas.</t>
  </si>
  <si>
    <t>Permitir al cliente conocer sus condiciones.</t>
  </si>
  <si>
    <t>Sesión activa, ID crédito</t>
  </si>
  <si>
    <t xml:space="preserve">Media </t>
  </si>
  <si>
    <t>Si no hay crédito activo, mostrar aviso.</t>
  </si>
  <si>
    <t>Actualizar en tiempo real.</t>
  </si>
  <si>
    <t>Consultar condiciones</t>
  </si>
  <si>
    <t>RF-5.4</t>
  </si>
  <si>
    <t>Consultar estado del crédito.</t>
  </si>
  <si>
    <t>Mostrar cuotas pagadas, pendientes y saldo.</t>
  </si>
  <si>
    <t>Informar progreso de pago.</t>
  </si>
  <si>
    <t>ID crédito</t>
  </si>
  <si>
    <t>Si falla la consulta, mostrar mensaje.</t>
  </si>
  <si>
    <t>Incluir historial de pagos.</t>
  </si>
  <si>
    <t>Estado crédito</t>
  </si>
  <si>
    <t>RF-5.5</t>
  </si>
  <si>
    <t>Generar certificados de pago.</t>
  </si>
  <si>
    <t>Crear documento PDF de pagos realizados.</t>
  </si>
  <si>
    <t>Emitir constancia de pago.</t>
  </si>
  <si>
    <t>Selección de pagos</t>
  </si>
  <si>
    <t>Si no hay pagos, mostrar aviso.</t>
  </si>
  <si>
    <t>Permitir descarga o envío.</t>
  </si>
  <si>
    <t>Certificado pago</t>
  </si>
  <si>
    <t>RF-6.1</t>
  </si>
  <si>
    <t>Generar reportes por cliente.</t>
  </si>
  <si>
    <t>Consultar pagos asociados por cédula.</t>
  </si>
  <si>
    <t>Facilitar control de pagos individuales.</t>
  </si>
  <si>
    <t>Cédula cliente</t>
  </si>
  <si>
    <t>Si el cliente no existe, mostrar error.</t>
  </si>
  <si>
    <t>Autocompletado en búsqueda.</t>
  </si>
  <si>
    <t>Reporte cliente</t>
  </si>
  <si>
    <t>RF-6.2</t>
  </si>
  <si>
    <t>Generar reportes por fecha.</t>
  </si>
  <si>
    <t>Filtrar pagos entre fechas dadas.</t>
  </si>
  <si>
    <t>Analizar pagos históricos.</t>
  </si>
  <si>
    <t>Fecha inicio y fin</t>
  </si>
  <si>
    <t>Si rango inválido, mostrar mensaje.</t>
  </si>
  <si>
    <t>Rango máximo: 1 año.</t>
  </si>
  <si>
    <t>Reporte fechas</t>
  </si>
  <si>
    <t>RF-6.3</t>
  </si>
  <si>
    <t>Visualizar clientes morosos.</t>
  </si>
  <si>
    <t>Mostrar reporte de deudas vencidas.</t>
  </si>
  <si>
    <t>Identificar riesgos de morosidad.</t>
  </si>
  <si>
    <t>Asistente</t>
  </si>
  <si>
    <t>Historial de pagos</t>
  </si>
  <si>
    <t>Si no hay morosos, mostrar aviso.</t>
  </si>
  <si>
    <t>Filtrar por monto o días.</t>
  </si>
  <si>
    <t>Riesgo morosidad</t>
  </si>
  <si>
    <t>RF-6.4</t>
  </si>
  <si>
    <t>Consultar información del cliente.</t>
  </si>
  <si>
    <t>Mostrar datos básicos y estado.</t>
  </si>
  <si>
    <t>Apoyar la gestión de reportes.</t>
  </si>
  <si>
    <t>Nombre o RUC</t>
  </si>
  <si>
    <t>Si no existe, mostrar “Cliente no encontrado”.</t>
  </si>
  <si>
    <t>Buscar por nombre o cédula.</t>
  </si>
  <si>
    <t>Info cliente</t>
  </si>
  <si>
    <t>RF-6.5</t>
  </si>
  <si>
    <t>Consultar historial de pagos del cliente.</t>
  </si>
  <si>
    <t>Mostrar lista de facturas y pagos.</t>
  </si>
  <si>
    <t>Controlar historial financiero.</t>
  </si>
  <si>
    <t>ID cliente</t>
  </si>
  <si>
    <t>Si el ID no existe, mostrar error.</t>
  </si>
  <si>
    <t>Permitir orden por fecha.</t>
  </si>
  <si>
    <t>Historial pagos</t>
  </si>
  <si>
    <t>RF-7</t>
  </si>
  <si>
    <t>Revisar estado de cuenta.</t>
  </si>
  <si>
    <t>Mostrar créditos activos, cuotas e intereses.</t>
  </si>
  <si>
    <t>Ofrecer visión consolidada de cuenta.</t>
  </si>
  <si>
    <t>Identificador cliente</t>
  </si>
  <si>
    <t>Si hay error de conexión, mostrar aviso.</t>
  </si>
  <si>
    <t>Exportar a PDF o XLSX.</t>
  </si>
  <si>
    <t>Estado de cuenta</t>
  </si>
  <si>
    <t>RF-8.2</t>
  </si>
  <si>
    <t>Notificar próximo vencimiento.</t>
  </si>
  <si>
    <t>Enviar alerta preventiva al cliente.</t>
  </si>
  <si>
    <t>Recordar al cliente antes del vencimiento.</t>
  </si>
  <si>
    <t>Fechas de vencimiento</t>
  </si>
  <si>
    <t>Si no hay cuotas próximas, omitir envío.</t>
  </si>
  <si>
    <t>Se ejecuta cada 24h.</t>
  </si>
  <si>
    <t>Notificar próximo</t>
  </si>
  <si>
    <t>RF-8.3</t>
  </si>
  <si>
    <t>Notificar pago vencido.</t>
  </si>
  <si>
    <t>Alertar al cliente por cuotas no pagadas.</t>
  </si>
  <si>
    <t>Mejorar recuperación de cartera.</t>
  </si>
  <si>
    <t>Si el pago ya fue realizado, cancelar notificación.</t>
  </si>
  <si>
    <t>Registrar evento en log.</t>
  </si>
  <si>
    <t>Notificar vencido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</si>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</sst>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16">
    <font>
      <sz val="11.0"/>
      <color theme="1"/>
      <name val="Arial"/>
      <scheme val="minor"/>
    </font>
    <font>
      <sz val="11.0"/>
      <color theme="1"/>
      <name val="Arial Narrow"/>
    </font>
    <font>
      <b/>
      <i/>
      <sz val="16.0"/>
      <color theme="1"/>
      <name val="Arial Narrow"/>
    </font>
    <font/>
    <font>
      <b/>
      <i/>
      <sz val="11.0"/>
      <color rgb="FF9C6500"/>
      <name val="Arial Narrow"/>
    </font>
    <font>
      <sz val="10.0"/>
      <color theme="1"/>
      <name val="Arial Narrow"/>
    </font>
    <font>
      <color theme="1"/>
      <name val="Arial"/>
      <scheme val="minor"/>
    </font>
    <font>
      <sz val="10.0"/>
      <color rgb="FF000000"/>
      <name val="Arial Narrow"/>
    </font>
    <font>
      <b/>
      <sz val="11.0"/>
      <color theme="1"/>
      <name val="Calibri"/>
    </font>
    <font>
      <sz val="11.0"/>
      <color theme="1"/>
      <name val="Calibri"/>
    </font>
    <font>
      <b/>
      <sz val="16.0"/>
      <color theme="1"/>
      <name val="Calibri"/>
    </font>
    <font>
      <sz val="11.0"/>
      <color theme="1"/>
      <name val="Arial"/>
    </font>
    <font>
      <b/>
      <sz val="11.0"/>
      <color theme="0"/>
      <name val="Calibri"/>
    </font>
    <font>
      <b/>
      <sz val="11.0"/>
      <color rgb="FFFA7D00"/>
      <name val="Calibri"/>
    </font>
    <font>
      <sz val="12.0"/>
      <color theme="1"/>
      <name val="Calibri"/>
    </font>
    <font>
      <b/>
      <i/>
      <sz val="12.0"/>
      <color rgb="FF9C6500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3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B2B2B2"/>
      </left>
      <top style="thin">
        <color rgb="FFB2B2B2"/>
      </top>
    </border>
    <border>
      <top style="thin">
        <color rgb="FFB2B2B2"/>
      </top>
    </border>
    <border>
      <right style="thin">
        <color rgb="FFB2B2B2"/>
      </right>
      <top style="thin">
        <color rgb="FFB2B2B2"/>
      </top>
    </border>
    <border>
      <left style="thin">
        <color rgb="FFB2B2B2"/>
      </left>
      <bottom style="thin">
        <color rgb="FFB2B2B2"/>
      </bottom>
    </border>
    <border>
      <bottom style="thin">
        <color rgb="FFB2B2B2"/>
      </bottom>
    </border>
    <border>
      <right style="thin">
        <color rgb="FFB2B2B2"/>
      </right>
      <bottom style="thin">
        <color rgb="FFB2B2B2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/>
    </xf>
    <xf borderId="1" fillId="0" fontId="2" numFmtId="0" xfId="0" applyAlignment="1" applyBorder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4" fillId="2" fontId="4" numFmtId="0" xfId="0" applyAlignment="1" applyBorder="1" applyFill="1" applyFont="1">
      <alignment horizontal="center" shrinkToFit="0" vertical="center" wrapText="1"/>
    </xf>
    <xf borderId="4" fillId="3" fontId="5" numFmtId="0" xfId="0" applyAlignment="1" applyBorder="1" applyFill="1" applyFont="1">
      <alignment horizontal="center" readingOrder="0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4" fillId="0" fontId="5" numFmtId="0" xfId="0" applyAlignment="1" applyBorder="1" applyFont="1">
      <alignment horizontal="center" shrinkToFit="0" vertical="center" wrapText="1"/>
    </xf>
    <xf borderId="4" fillId="0" fontId="5" numFmtId="164" xfId="0" applyAlignment="1" applyBorder="1" applyFont="1" applyNumberFormat="1">
      <alignment horizontal="center" readingOrder="0" shrinkToFit="0" vertical="center" wrapText="1"/>
    </xf>
    <xf borderId="4" fillId="4" fontId="5" numFmtId="0" xfId="0" applyAlignment="1" applyBorder="1" applyFill="1" applyFont="1">
      <alignment horizontal="center" shrinkToFit="0" vertical="center" wrapText="1"/>
    </xf>
    <xf borderId="0" fillId="0" fontId="6" numFmtId="49" xfId="0" applyAlignment="1" applyFont="1" applyNumberFormat="1">
      <alignment readingOrder="0" shrinkToFit="0" vertical="center" wrapText="1"/>
    </xf>
    <xf borderId="4" fillId="0" fontId="5" numFmtId="49" xfId="0" applyAlignment="1" applyBorder="1" applyFont="1" applyNumberFormat="1">
      <alignment horizontal="center" readingOrder="0" shrinkToFit="0" vertical="center" wrapText="1"/>
    </xf>
    <xf borderId="4" fillId="4" fontId="7" numFmtId="0" xfId="0" applyAlignment="1" applyBorder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0" xfId="0" applyAlignment="1" applyBorder="1" applyFont="1">
      <alignment horizontal="center" shrinkToFit="0" vertical="center" wrapText="1"/>
    </xf>
    <xf borderId="4" fillId="0" fontId="1" numFmtId="0" xfId="0" applyBorder="1" applyFont="1"/>
    <xf borderId="4" fillId="3" fontId="5" numFmtId="0" xfId="0" applyAlignment="1" applyBorder="1" applyFont="1">
      <alignment readingOrder="0" shrinkToFit="0" vertical="center" wrapText="1"/>
    </xf>
    <xf borderId="0" fillId="0" fontId="8" numFmtId="0" xfId="0" applyAlignment="1" applyFont="1">
      <alignment horizontal="left" shrinkToFit="0" vertical="center" wrapText="1"/>
    </xf>
    <xf borderId="0" fillId="0" fontId="9" numFmtId="0" xfId="0" applyFont="1"/>
    <xf borderId="1" fillId="5" fontId="10" numFmtId="0" xfId="0" applyAlignment="1" applyBorder="1" applyFill="1" applyFont="1">
      <alignment horizontal="center" shrinkToFit="0" vertical="center" wrapText="1"/>
    </xf>
    <xf borderId="0" fillId="0" fontId="11" numFmtId="0" xfId="0" applyFont="1"/>
    <xf borderId="0" fillId="0" fontId="8" numFmtId="0" xfId="0" applyAlignment="1" applyFont="1">
      <alignment horizontal="center" shrinkToFit="0" vertical="center" wrapText="1"/>
    </xf>
    <xf borderId="5" fillId="5" fontId="11" numFmtId="0" xfId="0" applyBorder="1" applyFont="1"/>
    <xf borderId="6" fillId="5" fontId="8" numFmtId="0" xfId="0" applyAlignment="1" applyBorder="1" applyFont="1">
      <alignment horizontal="left" shrinkToFit="0" vertical="center" wrapText="1"/>
    </xf>
    <xf borderId="6" fillId="5" fontId="9" numFmtId="0" xfId="0" applyBorder="1" applyFont="1"/>
    <xf borderId="6" fillId="5" fontId="11" numFmtId="0" xfId="0" applyBorder="1" applyFont="1"/>
    <xf borderId="7" fillId="5" fontId="11" numFmtId="0" xfId="0" applyBorder="1" applyFont="1"/>
    <xf borderId="8" fillId="5" fontId="11" numFmtId="0" xfId="0" applyBorder="1" applyFont="1"/>
    <xf borderId="4" fillId="6" fontId="12" numFmtId="0" xfId="0" applyAlignment="1" applyBorder="1" applyFill="1" applyFont="1">
      <alignment horizontal="center" vertical="center"/>
    </xf>
    <xf borderId="9" fillId="5" fontId="13" numFmtId="0" xfId="0" applyAlignment="1" applyBorder="1" applyFont="1">
      <alignment vertical="center"/>
    </xf>
    <xf borderId="1" fillId="6" fontId="12" numFmtId="0" xfId="0" applyAlignment="1" applyBorder="1" applyFont="1">
      <alignment horizontal="center" vertical="center"/>
    </xf>
    <xf borderId="9" fillId="5" fontId="11" numFmtId="0" xfId="0" applyBorder="1" applyFont="1"/>
    <xf borderId="10" fillId="5" fontId="11" numFmtId="0" xfId="0" applyBorder="1" applyFont="1"/>
    <xf borderId="4" fillId="7" fontId="14" numFmtId="0" xfId="0" applyAlignment="1" applyBorder="1" applyFill="1" applyFont="1">
      <alignment horizontal="center" readingOrder="0" vertical="center"/>
    </xf>
    <xf borderId="9" fillId="5" fontId="9" numFmtId="0" xfId="0" applyAlignment="1" applyBorder="1" applyFont="1">
      <alignment shrinkToFit="0" vertical="center" wrapText="1"/>
    </xf>
    <xf borderId="1" fillId="7" fontId="9" numFmtId="0" xfId="0" applyAlignment="1" applyBorder="1" applyFont="1">
      <alignment horizontal="center" vertical="center"/>
    </xf>
    <xf borderId="9" fillId="5" fontId="9" numFmtId="0" xfId="0" applyAlignment="1" applyBorder="1" applyFont="1">
      <alignment vertical="center"/>
    </xf>
    <xf borderId="9" fillId="5" fontId="14" numFmtId="0" xfId="0" applyAlignment="1" applyBorder="1" applyFont="1">
      <alignment horizontal="center" vertical="center"/>
    </xf>
    <xf borderId="9" fillId="5" fontId="9" numFmtId="0" xfId="0" applyAlignment="1" applyBorder="1" applyFont="1">
      <alignment horizontal="center" vertical="center"/>
    </xf>
    <xf borderId="4" fillId="7" fontId="14" numFmtId="0" xfId="0" applyAlignment="1" applyBorder="1" applyFont="1">
      <alignment horizontal="center" vertical="center"/>
    </xf>
    <xf borderId="11" fillId="8" fontId="12" numFmtId="0" xfId="0" applyAlignment="1" applyBorder="1" applyFill="1" applyFont="1">
      <alignment horizontal="center" vertical="center"/>
    </xf>
    <xf borderId="12" fillId="7" fontId="9" numFmtId="0" xfId="0" applyAlignment="1" applyBorder="1" applyFont="1">
      <alignment horizontal="center" shrinkToFit="0" vertical="center" wrapText="1"/>
    </xf>
    <xf borderId="13" fillId="0" fontId="3" numFmtId="0" xfId="0" applyBorder="1" applyFont="1"/>
    <xf borderId="9" fillId="5" fontId="11" numFmtId="0" xfId="0" applyAlignment="1" applyBorder="1" applyFont="1">
      <alignment horizontal="center"/>
    </xf>
    <xf borderId="14" fillId="0" fontId="3" numFmtId="0" xfId="0" applyBorder="1" applyFont="1"/>
    <xf borderId="12" fillId="7" fontId="9" numFmtId="0" xfId="0" applyAlignment="1" applyBorder="1" applyFont="1">
      <alignment horizontal="left" vertical="center"/>
    </xf>
    <xf borderId="15" fillId="0" fontId="3" numFmtId="0" xfId="0" applyBorder="1" applyFont="1"/>
    <xf borderId="16" fillId="0" fontId="3" numFmtId="0" xfId="0" applyBorder="1" applyFont="1"/>
    <xf borderId="17" fillId="0" fontId="3" numFmtId="0" xfId="0" applyBorder="1" applyFont="1"/>
    <xf borderId="18" fillId="0" fontId="3" numFmtId="0" xfId="0" applyBorder="1" applyFont="1"/>
    <xf borderId="19" fillId="0" fontId="3" numFmtId="0" xfId="0" applyBorder="1" applyFont="1"/>
    <xf borderId="20" fillId="0" fontId="3" numFmtId="0" xfId="0" applyBorder="1" applyFont="1"/>
    <xf borderId="21" fillId="0" fontId="3" numFmtId="0" xfId="0" applyBorder="1" applyFont="1"/>
    <xf borderId="12" fillId="9" fontId="15" numFmtId="0" xfId="0" applyAlignment="1" applyBorder="1" applyFill="1" applyFont="1">
      <alignment horizontal="center" vertical="center"/>
    </xf>
    <xf borderId="22" fillId="2" fontId="14" numFmtId="0" xfId="0" applyAlignment="1" applyBorder="1" applyFont="1">
      <alignment horizontal="center" vertical="center"/>
    </xf>
    <xf borderId="23" fillId="0" fontId="3" numFmtId="0" xfId="0" applyBorder="1" applyFont="1"/>
    <xf borderId="24" fillId="0" fontId="3" numFmtId="0" xfId="0" applyBorder="1" applyFont="1"/>
    <xf borderId="25" fillId="0" fontId="3" numFmtId="0" xfId="0" applyBorder="1" applyFont="1"/>
    <xf borderId="26" fillId="0" fontId="3" numFmtId="0" xfId="0" applyBorder="1" applyFont="1"/>
    <xf borderId="27" fillId="0" fontId="3" numFmtId="0" xfId="0" applyBorder="1" applyFont="1"/>
    <xf borderId="12" fillId="6" fontId="12" numFmtId="0" xfId="0" applyAlignment="1" applyBorder="1" applyFont="1">
      <alignment horizontal="center" vertical="center"/>
    </xf>
    <xf borderId="12" fillId="7" fontId="9" numFmtId="49" xfId="0" applyAlignment="1" applyBorder="1" applyFont="1" applyNumberFormat="1">
      <alignment horizontal="left" vertical="center"/>
    </xf>
    <xf borderId="12" fillId="7" fontId="9" numFmtId="0" xfId="0" applyAlignment="1" applyBorder="1" applyFont="1">
      <alignment horizontal="center" vertical="center"/>
    </xf>
    <xf borderId="28" fillId="5" fontId="11" numFmtId="0" xfId="0" applyBorder="1" applyFont="1"/>
    <xf borderId="29" fillId="5" fontId="11" numFmtId="0" xfId="0" applyBorder="1" applyFont="1"/>
    <xf borderId="30" fillId="5" fontId="11" numFmtId="0" xfId="0" applyBorder="1" applyFont="1"/>
  </cellXfs>
  <cellStyles count="1">
    <cellStyle xfId="0" name="Normal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6500"/>
      </font>
      <fill>
        <patternFill patternType="solid">
          <fgColor rgb="FFFFEB9C"/>
          <bgColor rgb="FFFFEB9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2.63" defaultRowHeight="15.0"/>
  <cols>
    <col customWidth="1" min="1" max="1" width="4.63"/>
    <col customWidth="1" min="2" max="2" width="6.63"/>
    <col customWidth="1" min="3" max="5" width="20.63"/>
    <col customWidth="1" min="6" max="6" width="13.13"/>
    <col customWidth="1" min="7" max="7" width="32.5"/>
    <col customWidth="1" min="8" max="12" width="10.63"/>
    <col customWidth="1" min="13" max="13" width="32.75"/>
    <col customWidth="1" min="14" max="15" width="20.63"/>
    <col customWidth="1" min="16" max="26" width="9.38"/>
  </cols>
  <sheetData>
    <row r="1">
      <c r="A1" s="1">
        <v>4.0</v>
      </c>
      <c r="B1" s="1"/>
      <c r="C1" s="1"/>
      <c r="D1" s="1"/>
      <c r="E1" s="1"/>
      <c r="F1" s="1"/>
      <c r="G1" s="1"/>
      <c r="H1" s="1"/>
      <c r="I1" s="2"/>
      <c r="J1" s="2"/>
      <c r="K1" s="3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2"/>
      <c r="J2" s="2"/>
      <c r="K2" s="3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45.0" customHeight="1">
      <c r="A3" s="1"/>
      <c r="B3" s="4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6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2"/>
      <c r="J4" s="2"/>
      <c r="K4" s="3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60.0" customHeight="1">
      <c r="A5" s="1"/>
      <c r="B5" s="7" t="s">
        <v>1</v>
      </c>
      <c r="C5" s="7" t="s">
        <v>2</v>
      </c>
      <c r="D5" s="7" t="s">
        <v>3</v>
      </c>
      <c r="E5" s="7" t="s">
        <v>4</v>
      </c>
      <c r="F5" s="7" t="s">
        <v>5</v>
      </c>
      <c r="G5" s="7" t="s">
        <v>6</v>
      </c>
      <c r="H5" s="7" t="s">
        <v>7</v>
      </c>
      <c r="I5" s="7" t="s">
        <v>8</v>
      </c>
      <c r="J5" s="7" t="s">
        <v>9</v>
      </c>
      <c r="K5" s="7" t="s">
        <v>10</v>
      </c>
      <c r="L5" s="7" t="s">
        <v>11</v>
      </c>
      <c r="M5" s="7" t="s">
        <v>12</v>
      </c>
      <c r="N5" s="7" t="s">
        <v>13</v>
      </c>
      <c r="O5" s="7" t="s">
        <v>14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75.75" customHeight="1">
      <c r="A6" s="1"/>
      <c r="B6" s="8" t="s">
        <v>15</v>
      </c>
      <c r="C6" s="9" t="s">
        <v>16</v>
      </c>
      <c r="D6" s="9" t="s">
        <v>17</v>
      </c>
      <c r="E6" s="9" t="s">
        <v>18</v>
      </c>
      <c r="F6" s="9" t="s">
        <v>19</v>
      </c>
      <c r="G6" s="9" t="s">
        <v>20</v>
      </c>
      <c r="H6" s="10" t="s">
        <v>21</v>
      </c>
      <c r="I6" s="10">
        <v>1.5</v>
      </c>
      <c r="J6" s="11">
        <v>45979.0</v>
      </c>
      <c r="K6" s="12" t="s">
        <v>22</v>
      </c>
      <c r="L6" s="10" t="s">
        <v>23</v>
      </c>
      <c r="M6" s="13" t="s">
        <v>24</v>
      </c>
      <c r="N6" s="9" t="s">
        <v>25</v>
      </c>
      <c r="O6" s="9" t="s">
        <v>26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75.75" customHeight="1">
      <c r="A7" s="1"/>
      <c r="B7" s="8" t="s">
        <v>27</v>
      </c>
      <c r="C7" s="9" t="s">
        <v>28</v>
      </c>
      <c r="D7" s="9" t="s">
        <v>29</v>
      </c>
      <c r="E7" s="9" t="s">
        <v>30</v>
      </c>
      <c r="F7" s="9" t="s">
        <v>31</v>
      </c>
      <c r="G7" s="9" t="s">
        <v>32</v>
      </c>
      <c r="H7" s="10" t="s">
        <v>21</v>
      </c>
      <c r="I7" s="10">
        <v>1.5</v>
      </c>
      <c r="J7" s="11">
        <v>45979.0</v>
      </c>
      <c r="K7" s="10" t="s">
        <v>22</v>
      </c>
      <c r="L7" s="10" t="s">
        <v>23</v>
      </c>
      <c r="M7" s="14" t="s">
        <v>33</v>
      </c>
      <c r="N7" s="9" t="s">
        <v>34</v>
      </c>
      <c r="O7" s="9" t="s">
        <v>35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75.75" customHeight="1">
      <c r="A8" s="1"/>
      <c r="B8" s="8" t="s">
        <v>36</v>
      </c>
      <c r="C8" s="9" t="s">
        <v>37</v>
      </c>
      <c r="D8" s="9" t="s">
        <v>38</v>
      </c>
      <c r="E8" s="9" t="s">
        <v>39</v>
      </c>
      <c r="F8" s="9" t="s">
        <v>40</v>
      </c>
      <c r="G8" s="15" t="s">
        <v>41</v>
      </c>
      <c r="H8" s="10" t="s">
        <v>21</v>
      </c>
      <c r="I8" s="10">
        <v>1.5</v>
      </c>
      <c r="J8" s="11">
        <v>45979.0</v>
      </c>
      <c r="K8" s="10" t="s">
        <v>22</v>
      </c>
      <c r="L8" s="10" t="s">
        <v>23</v>
      </c>
      <c r="M8" s="9" t="s">
        <v>42</v>
      </c>
      <c r="N8" s="9" t="s">
        <v>43</v>
      </c>
      <c r="O8" s="9" t="s">
        <v>44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75.75" customHeight="1">
      <c r="A9" s="1"/>
      <c r="B9" s="8" t="s">
        <v>45</v>
      </c>
      <c r="C9" s="9" t="s">
        <v>46</v>
      </c>
      <c r="D9" s="15" t="s">
        <v>47</v>
      </c>
      <c r="E9" s="15" t="s">
        <v>48</v>
      </c>
      <c r="F9" s="9" t="s">
        <v>40</v>
      </c>
      <c r="G9" s="15" t="s">
        <v>49</v>
      </c>
      <c r="H9" s="10" t="s">
        <v>21</v>
      </c>
      <c r="I9" s="9">
        <v>1.0</v>
      </c>
      <c r="J9" s="11">
        <v>45979.0</v>
      </c>
      <c r="K9" s="10" t="s">
        <v>22</v>
      </c>
      <c r="L9" s="10" t="s">
        <v>23</v>
      </c>
      <c r="M9" s="9" t="s">
        <v>50</v>
      </c>
      <c r="N9" s="9" t="s">
        <v>51</v>
      </c>
      <c r="O9" s="9" t="s">
        <v>52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64.5" customHeight="1">
      <c r="A10" s="1"/>
      <c r="B10" s="8" t="s">
        <v>53</v>
      </c>
      <c r="C10" s="9" t="s">
        <v>54</v>
      </c>
      <c r="D10" s="9" t="s">
        <v>55</v>
      </c>
      <c r="E10" s="9" t="s">
        <v>56</v>
      </c>
      <c r="F10" s="9" t="s">
        <v>40</v>
      </c>
      <c r="G10" s="9" t="s">
        <v>57</v>
      </c>
      <c r="H10" s="10" t="s">
        <v>21</v>
      </c>
      <c r="I10" s="9">
        <v>1.0</v>
      </c>
      <c r="J10" s="11">
        <v>45979.0</v>
      </c>
      <c r="K10" s="10" t="s">
        <v>22</v>
      </c>
      <c r="L10" s="10" t="s">
        <v>23</v>
      </c>
      <c r="M10" s="14" t="s">
        <v>58</v>
      </c>
      <c r="N10" s="9" t="s">
        <v>59</v>
      </c>
      <c r="O10" s="9" t="s">
        <v>60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61.5" customHeight="1">
      <c r="A11" s="1"/>
      <c r="B11" s="8" t="s">
        <v>61</v>
      </c>
      <c r="C11" s="9" t="s">
        <v>62</v>
      </c>
      <c r="D11" s="16" t="s">
        <v>63</v>
      </c>
      <c r="E11" s="9" t="s">
        <v>64</v>
      </c>
      <c r="F11" s="9" t="s">
        <v>40</v>
      </c>
      <c r="G11" s="15" t="s">
        <v>65</v>
      </c>
      <c r="H11" s="10" t="s">
        <v>21</v>
      </c>
      <c r="I11" s="9">
        <v>1.0</v>
      </c>
      <c r="J11" s="11">
        <v>45979.0</v>
      </c>
      <c r="K11" s="10" t="s">
        <v>22</v>
      </c>
      <c r="L11" s="10" t="s">
        <v>23</v>
      </c>
      <c r="M11" s="9" t="s">
        <v>66</v>
      </c>
      <c r="N11" s="9" t="s">
        <v>67</v>
      </c>
      <c r="O11" s="9" t="s">
        <v>62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70.5" customHeight="1">
      <c r="A12" s="1"/>
      <c r="B12" s="8" t="s">
        <v>68</v>
      </c>
      <c r="C12" s="9" t="s">
        <v>69</v>
      </c>
      <c r="D12" s="15" t="s">
        <v>70</v>
      </c>
      <c r="E12" s="9" t="s">
        <v>71</v>
      </c>
      <c r="F12" s="10"/>
      <c r="G12" s="15" t="s">
        <v>72</v>
      </c>
      <c r="H12" s="10" t="s">
        <v>21</v>
      </c>
      <c r="I12" s="9">
        <v>1.5</v>
      </c>
      <c r="J12" s="11">
        <v>45979.0</v>
      </c>
      <c r="K12" s="10" t="s">
        <v>22</v>
      </c>
      <c r="L12" s="10" t="s">
        <v>23</v>
      </c>
      <c r="M12" s="9" t="s">
        <v>73</v>
      </c>
      <c r="N12" s="9" t="s">
        <v>74</v>
      </c>
      <c r="O12" s="9" t="s">
        <v>69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61.5" customHeight="1">
      <c r="A13" s="1"/>
      <c r="B13" s="8" t="s">
        <v>75</v>
      </c>
      <c r="C13" s="10"/>
      <c r="D13" s="17"/>
      <c r="E13" s="10"/>
      <c r="F13" s="10"/>
      <c r="G13" s="17"/>
      <c r="H13" s="10"/>
      <c r="I13" s="10"/>
      <c r="J13" s="11">
        <v>45979.0</v>
      </c>
      <c r="K13" s="10" t="s">
        <v>22</v>
      </c>
      <c r="L13" s="10"/>
      <c r="M13" s="10"/>
      <c r="N13" s="18"/>
      <c r="O13" s="10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58.5" customHeight="1">
      <c r="A14" s="1"/>
      <c r="B14" s="8" t="s">
        <v>76</v>
      </c>
      <c r="C14" s="10"/>
      <c r="D14" s="10"/>
      <c r="E14" s="10"/>
      <c r="F14" s="10"/>
      <c r="G14" s="17"/>
      <c r="H14" s="10"/>
      <c r="I14" s="10"/>
      <c r="J14" s="11">
        <v>45979.0</v>
      </c>
      <c r="K14" s="10" t="s">
        <v>22</v>
      </c>
      <c r="L14" s="10"/>
      <c r="M14" s="10"/>
      <c r="N14" s="18"/>
      <c r="O14" s="10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39.75" customHeight="1">
      <c r="A15" s="1"/>
      <c r="B15" s="19" t="s">
        <v>77</v>
      </c>
      <c r="C15" s="9" t="s">
        <v>78</v>
      </c>
      <c r="D15" s="9" t="s">
        <v>79</v>
      </c>
      <c r="E15" s="9" t="s">
        <v>80</v>
      </c>
      <c r="F15" s="9" t="s">
        <v>31</v>
      </c>
      <c r="G15" s="9" t="s">
        <v>81</v>
      </c>
      <c r="H15" s="10" t="s">
        <v>21</v>
      </c>
      <c r="I15" s="10" t="s">
        <v>82</v>
      </c>
      <c r="J15" s="11">
        <v>45979.0</v>
      </c>
      <c r="K15" s="10" t="s">
        <v>22</v>
      </c>
      <c r="L15" s="10" t="s">
        <v>23</v>
      </c>
      <c r="M15" s="14" t="s">
        <v>83</v>
      </c>
      <c r="N15" s="9" t="s">
        <v>84</v>
      </c>
      <c r="O15" s="10" t="s">
        <v>85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72.0" customHeight="1">
      <c r="A16" s="1"/>
      <c r="B16" s="19" t="s">
        <v>86</v>
      </c>
      <c r="C16" s="9" t="s">
        <v>87</v>
      </c>
      <c r="D16" s="9" t="s">
        <v>88</v>
      </c>
      <c r="E16" s="9" t="s">
        <v>89</v>
      </c>
      <c r="F16" s="9" t="s">
        <v>19</v>
      </c>
      <c r="G16" s="9" t="s">
        <v>90</v>
      </c>
      <c r="H16" s="10" t="s">
        <v>21</v>
      </c>
      <c r="I16" s="10" t="s">
        <v>82</v>
      </c>
      <c r="J16" s="11">
        <v>45979.0</v>
      </c>
      <c r="K16" s="10" t="s">
        <v>22</v>
      </c>
      <c r="L16" s="10" t="s">
        <v>23</v>
      </c>
      <c r="M16" s="14" t="s">
        <v>91</v>
      </c>
      <c r="N16" s="9" t="s">
        <v>92</v>
      </c>
      <c r="O16" s="10" t="s">
        <v>93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9.75" customHeight="1">
      <c r="A17" s="1"/>
      <c r="B17" s="19" t="s">
        <v>94</v>
      </c>
      <c r="C17" s="9" t="s">
        <v>95</v>
      </c>
      <c r="D17" s="9" t="s">
        <v>96</v>
      </c>
      <c r="E17" s="9" t="s">
        <v>97</v>
      </c>
      <c r="F17" s="9" t="s">
        <v>19</v>
      </c>
      <c r="G17" s="9" t="s">
        <v>98</v>
      </c>
      <c r="H17" s="10" t="s">
        <v>21</v>
      </c>
      <c r="I17" s="10" t="s">
        <v>82</v>
      </c>
      <c r="J17" s="11">
        <v>45979.0</v>
      </c>
      <c r="K17" s="9" t="s">
        <v>99</v>
      </c>
      <c r="L17" s="10" t="s">
        <v>23</v>
      </c>
      <c r="M17" s="14" t="s">
        <v>100</v>
      </c>
      <c r="N17" s="9" t="s">
        <v>101</v>
      </c>
      <c r="O17" s="10" t="s">
        <v>102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9.75" customHeight="1">
      <c r="A18" s="1"/>
      <c r="B18" s="19" t="s">
        <v>103</v>
      </c>
      <c r="C18" s="9" t="s">
        <v>104</v>
      </c>
      <c r="D18" s="9" t="s">
        <v>105</v>
      </c>
      <c r="E18" s="9" t="s">
        <v>106</v>
      </c>
      <c r="F18" s="9" t="s">
        <v>19</v>
      </c>
      <c r="G18" s="9" t="s">
        <v>107</v>
      </c>
      <c r="H18" s="10" t="s">
        <v>21</v>
      </c>
      <c r="I18" s="10" t="s">
        <v>82</v>
      </c>
      <c r="J18" s="11">
        <v>45979.0</v>
      </c>
      <c r="K18" s="9" t="s">
        <v>99</v>
      </c>
      <c r="L18" s="10" t="s">
        <v>23</v>
      </c>
      <c r="M18" s="14" t="s">
        <v>108</v>
      </c>
      <c r="N18" s="9" t="s">
        <v>109</v>
      </c>
      <c r="O18" s="10" t="s">
        <v>110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9.75" customHeight="1">
      <c r="A19" s="1"/>
      <c r="B19" s="19" t="s">
        <v>111</v>
      </c>
      <c r="C19" s="9" t="s">
        <v>112</v>
      </c>
      <c r="D19" s="9" t="s">
        <v>113</v>
      </c>
      <c r="E19" s="9" t="s">
        <v>114</v>
      </c>
      <c r="F19" s="9" t="s">
        <v>19</v>
      </c>
      <c r="G19" s="9" t="s">
        <v>115</v>
      </c>
      <c r="H19" s="10" t="s">
        <v>21</v>
      </c>
      <c r="I19" s="10" t="s">
        <v>82</v>
      </c>
      <c r="J19" s="11">
        <v>45979.0</v>
      </c>
      <c r="K19" s="9" t="s">
        <v>99</v>
      </c>
      <c r="L19" s="10" t="s">
        <v>23</v>
      </c>
      <c r="M19" s="14" t="s">
        <v>116</v>
      </c>
      <c r="N19" s="9" t="s">
        <v>117</v>
      </c>
      <c r="O19" s="10" t="s">
        <v>118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9" t="s">
        <v>119</v>
      </c>
      <c r="C20" s="9" t="s">
        <v>120</v>
      </c>
      <c r="D20" s="9" t="s">
        <v>121</v>
      </c>
      <c r="E20" s="9" t="s">
        <v>122</v>
      </c>
      <c r="F20" s="9" t="s">
        <v>31</v>
      </c>
      <c r="G20" s="9" t="s">
        <v>123</v>
      </c>
      <c r="H20" s="10" t="s">
        <v>21</v>
      </c>
      <c r="I20" s="10" t="s">
        <v>82</v>
      </c>
      <c r="J20" s="11">
        <v>45979.0</v>
      </c>
      <c r="K20" s="9" t="s">
        <v>99</v>
      </c>
      <c r="L20" s="10" t="s">
        <v>23</v>
      </c>
      <c r="M20" s="14" t="s">
        <v>124</v>
      </c>
      <c r="N20" s="9" t="s">
        <v>125</v>
      </c>
      <c r="O20" s="10" t="s">
        <v>126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9" t="s">
        <v>127</v>
      </c>
      <c r="C21" s="9" t="s">
        <v>128</v>
      </c>
      <c r="D21" s="9" t="s">
        <v>129</v>
      </c>
      <c r="E21" s="9" t="s">
        <v>130</v>
      </c>
      <c r="F21" s="9" t="s">
        <v>31</v>
      </c>
      <c r="G21" s="9" t="s">
        <v>131</v>
      </c>
      <c r="H21" s="10" t="s">
        <v>21</v>
      </c>
      <c r="I21" s="10" t="s">
        <v>82</v>
      </c>
      <c r="J21" s="11">
        <v>45979.0</v>
      </c>
      <c r="K21" s="9" t="s">
        <v>99</v>
      </c>
      <c r="L21" s="10" t="s">
        <v>23</v>
      </c>
      <c r="M21" s="14" t="s">
        <v>132</v>
      </c>
      <c r="N21" s="9" t="s">
        <v>133</v>
      </c>
      <c r="O21" s="10" t="s">
        <v>134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9" t="s">
        <v>135</v>
      </c>
      <c r="C22" s="9" t="s">
        <v>136</v>
      </c>
      <c r="D22" s="9" t="s">
        <v>137</v>
      </c>
      <c r="E22" s="9" t="s">
        <v>138</v>
      </c>
      <c r="F22" s="9" t="s">
        <v>139</v>
      </c>
      <c r="G22" s="9" t="s">
        <v>140</v>
      </c>
      <c r="H22" s="10" t="s">
        <v>21</v>
      </c>
      <c r="I22" s="10" t="s">
        <v>82</v>
      </c>
      <c r="J22" s="11">
        <v>45979.0</v>
      </c>
      <c r="K22" s="10" t="s">
        <v>22</v>
      </c>
      <c r="L22" s="10" t="s">
        <v>23</v>
      </c>
      <c r="M22" s="14" t="s">
        <v>141</v>
      </c>
      <c r="N22" s="9" t="s">
        <v>142</v>
      </c>
      <c r="O22" s="10" t="s">
        <v>143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9" t="s">
        <v>144</v>
      </c>
      <c r="C23" s="9" t="s">
        <v>145</v>
      </c>
      <c r="D23" s="9" t="s">
        <v>146</v>
      </c>
      <c r="E23" s="9" t="s">
        <v>147</v>
      </c>
      <c r="F23" s="9" t="s">
        <v>139</v>
      </c>
      <c r="G23" s="9" t="s">
        <v>148</v>
      </c>
      <c r="H23" s="10" t="s">
        <v>21</v>
      </c>
      <c r="I23" s="10" t="s">
        <v>82</v>
      </c>
      <c r="J23" s="11">
        <v>45979.0</v>
      </c>
      <c r="K23" s="9" t="s">
        <v>99</v>
      </c>
      <c r="L23" s="10" t="s">
        <v>23</v>
      </c>
      <c r="M23" s="14" t="s">
        <v>149</v>
      </c>
      <c r="N23" s="9" t="s">
        <v>150</v>
      </c>
      <c r="O23" s="10" t="s">
        <v>151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9" t="s">
        <v>152</v>
      </c>
      <c r="C24" s="9" t="s">
        <v>153</v>
      </c>
      <c r="D24" s="9" t="s">
        <v>154</v>
      </c>
      <c r="E24" s="9" t="s">
        <v>155</v>
      </c>
      <c r="F24" s="9" t="s">
        <v>139</v>
      </c>
      <c r="G24" s="9" t="s">
        <v>156</v>
      </c>
      <c r="H24" s="10" t="s">
        <v>21</v>
      </c>
      <c r="I24" s="10" t="s">
        <v>82</v>
      </c>
      <c r="J24" s="11">
        <v>45979.0</v>
      </c>
      <c r="K24" s="9" t="s">
        <v>99</v>
      </c>
      <c r="L24" s="10" t="s">
        <v>23</v>
      </c>
      <c r="M24" s="14" t="s">
        <v>157</v>
      </c>
      <c r="N24" s="9" t="s">
        <v>158</v>
      </c>
      <c r="O24" s="10" t="s">
        <v>159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75.75" customHeight="1">
      <c r="A25" s="1"/>
      <c r="B25" s="19" t="s">
        <v>160</v>
      </c>
      <c r="C25" s="9" t="s">
        <v>161</v>
      </c>
      <c r="D25" s="9" t="s">
        <v>162</v>
      </c>
      <c r="E25" s="9" t="s">
        <v>163</v>
      </c>
      <c r="F25" s="9" t="s">
        <v>40</v>
      </c>
      <c r="G25" s="9" t="s">
        <v>164</v>
      </c>
      <c r="H25" s="10" t="s">
        <v>21</v>
      </c>
      <c r="I25" s="10" t="s">
        <v>82</v>
      </c>
      <c r="J25" s="11">
        <v>45979.0</v>
      </c>
      <c r="K25" s="9" t="s">
        <v>99</v>
      </c>
      <c r="L25" s="10" t="s">
        <v>23</v>
      </c>
      <c r="M25" s="14" t="s">
        <v>165</v>
      </c>
      <c r="N25" s="9" t="s">
        <v>166</v>
      </c>
      <c r="O25" s="10" t="s">
        <v>167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75.75" customHeight="1">
      <c r="A26" s="1"/>
      <c r="B26" s="19" t="s">
        <v>168</v>
      </c>
      <c r="C26" s="9" t="s">
        <v>169</v>
      </c>
      <c r="D26" s="9" t="s">
        <v>170</v>
      </c>
      <c r="E26" s="9" t="s">
        <v>171</v>
      </c>
      <c r="F26" s="9" t="s">
        <v>139</v>
      </c>
      <c r="G26" s="9" t="s">
        <v>172</v>
      </c>
      <c r="H26" s="10" t="s">
        <v>21</v>
      </c>
      <c r="I26" s="10" t="s">
        <v>82</v>
      </c>
      <c r="J26" s="11">
        <v>45979.0</v>
      </c>
      <c r="K26" s="9" t="s">
        <v>99</v>
      </c>
      <c r="L26" s="10" t="s">
        <v>23</v>
      </c>
      <c r="M26" s="14" t="s">
        <v>173</v>
      </c>
      <c r="N26" s="9" t="s">
        <v>174</v>
      </c>
      <c r="O26" s="10" t="s">
        <v>175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75.75" customHeight="1">
      <c r="A27" s="1"/>
      <c r="B27" s="19" t="s">
        <v>176</v>
      </c>
      <c r="C27" s="9" t="s">
        <v>177</v>
      </c>
      <c r="D27" s="9" t="s">
        <v>178</v>
      </c>
      <c r="E27" s="9" t="s">
        <v>179</v>
      </c>
      <c r="F27" s="9" t="s">
        <v>139</v>
      </c>
      <c r="G27" s="9" t="s">
        <v>140</v>
      </c>
      <c r="H27" s="10" t="s">
        <v>21</v>
      </c>
      <c r="I27" s="10" t="s">
        <v>82</v>
      </c>
      <c r="J27" s="11">
        <v>45979.0</v>
      </c>
      <c r="K27" s="10" t="s">
        <v>22</v>
      </c>
      <c r="L27" s="10" t="s">
        <v>23</v>
      </c>
      <c r="M27" s="14" t="s">
        <v>180</v>
      </c>
      <c r="N27" s="9" t="s">
        <v>181</v>
      </c>
      <c r="O27" s="10" t="s">
        <v>182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9.5" customHeight="1">
      <c r="A28" s="1"/>
      <c r="B28" s="1"/>
      <c r="C28" s="1"/>
      <c r="D28" s="1"/>
      <c r="E28" s="1"/>
      <c r="F28" s="1"/>
      <c r="G28" s="1"/>
      <c r="H28" s="1"/>
      <c r="I28" s="2"/>
      <c r="J28" s="1"/>
      <c r="K28" s="3"/>
      <c r="L28" s="3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9.5" customHeight="1">
      <c r="A29" s="1"/>
      <c r="B29" s="1"/>
      <c r="C29" s="1"/>
      <c r="D29" s="1"/>
      <c r="E29" s="1"/>
      <c r="F29" s="1"/>
      <c r="G29" s="1"/>
      <c r="H29" s="1"/>
      <c r="I29" s="2"/>
      <c r="J29" s="1"/>
      <c r="K29" s="3"/>
      <c r="L29" s="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9.5" customHeight="1">
      <c r="A30" s="1"/>
      <c r="B30" s="1"/>
      <c r="C30" s="1"/>
      <c r="D30" s="1"/>
      <c r="E30" s="1"/>
      <c r="F30" s="1"/>
      <c r="G30" s="1"/>
      <c r="H30" s="1"/>
      <c r="I30" s="2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9.5" customHeight="1">
      <c r="A31" s="1"/>
      <c r="B31" s="1"/>
      <c r="C31" s="1"/>
      <c r="D31" s="1"/>
      <c r="E31" s="1"/>
      <c r="F31" s="1"/>
      <c r="G31" s="1"/>
      <c r="H31" s="1"/>
      <c r="I31" s="2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2"/>
      <c r="J34" s="2"/>
      <c r="K34" s="3"/>
      <c r="L34" s="2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2"/>
      <c r="J35" s="2"/>
      <c r="K35" s="3"/>
      <c r="L35" s="2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2"/>
      <c r="J36" s="2"/>
      <c r="K36" s="3"/>
      <c r="L36" s="2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2"/>
      <c r="J37" s="2"/>
      <c r="K37" s="3"/>
      <c r="L37" s="2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2"/>
      <c r="J38" s="2"/>
      <c r="K38" s="3"/>
      <c r="L38" s="2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2"/>
      <c r="J39" s="2"/>
      <c r="K39" s="3"/>
      <c r="L39" s="2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2"/>
      <c r="J40" s="2"/>
      <c r="K40" s="3"/>
      <c r="L40" s="2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2"/>
      <c r="J41" s="2"/>
      <c r="K41" s="3"/>
      <c r="L41" s="2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2"/>
      <c r="J42" s="2"/>
      <c r="K42" s="3"/>
      <c r="L42" s="2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2"/>
      <c r="J43" s="2"/>
      <c r="K43" s="3"/>
      <c r="L43" s="2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2"/>
      <c r="J44" s="2"/>
      <c r="K44" s="3"/>
      <c r="L44" s="2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2"/>
      <c r="J45" s="2"/>
      <c r="K45" s="3"/>
      <c r="L45" s="2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2"/>
      <c r="J46" s="2"/>
      <c r="K46" s="3"/>
      <c r="L46" s="2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2"/>
      <c r="J47" s="2"/>
      <c r="K47" s="3"/>
      <c r="L47" s="2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2"/>
      <c r="J48" s="2"/>
      <c r="K48" s="3"/>
      <c r="L48" s="2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2"/>
      <c r="J49" s="2"/>
      <c r="K49" s="3"/>
      <c r="L49" s="2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2"/>
      <c r="J50" s="2"/>
      <c r="K50" s="3"/>
      <c r="L50" s="2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2"/>
      <c r="J51" s="2"/>
      <c r="K51" s="3"/>
      <c r="L51" s="2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2"/>
      <c r="J52" s="2"/>
      <c r="K52" s="3"/>
      <c r="L52" s="2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2"/>
      <c r="J53" s="2"/>
      <c r="K53" s="3"/>
      <c r="L53" s="2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2"/>
      <c r="J54" s="2"/>
      <c r="K54" s="3"/>
      <c r="L54" s="2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2"/>
      <c r="J55" s="2"/>
      <c r="K55" s="3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2"/>
      <c r="J56" s="2"/>
      <c r="K56" s="3"/>
      <c r="L56" s="2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2"/>
      <c r="J57" s="2"/>
      <c r="K57" s="3"/>
      <c r="L57" s="2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2"/>
      <c r="J58" s="2"/>
      <c r="K58" s="3"/>
      <c r="L58" s="2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2"/>
      <c r="J59" s="2"/>
      <c r="K59" s="3"/>
      <c r="L59" s="2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2"/>
      <c r="J60" s="2"/>
      <c r="K60" s="3"/>
      <c r="L60" s="2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2"/>
      <c r="J61" s="2"/>
      <c r="K61" s="3"/>
      <c r="L61" s="2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2"/>
      <c r="J62" s="2"/>
      <c r="K62" s="3"/>
      <c r="L62" s="2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2"/>
      <c r="J63" s="2"/>
      <c r="K63" s="3"/>
      <c r="L63" s="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2"/>
      <c r="J64" s="2"/>
      <c r="K64" s="3"/>
      <c r="L64" s="2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2"/>
      <c r="J65" s="2"/>
      <c r="K65" s="3"/>
      <c r="L65" s="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2"/>
      <c r="J66" s="2"/>
      <c r="K66" s="3"/>
      <c r="L66" s="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2"/>
      <c r="J67" s="2"/>
      <c r="K67" s="3"/>
      <c r="L67" s="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2"/>
      <c r="J68" s="2"/>
      <c r="K68" s="3"/>
      <c r="L68" s="2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2"/>
      <c r="J69" s="2"/>
      <c r="K69" s="3"/>
      <c r="L69" s="2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2"/>
      <c r="J70" s="2"/>
      <c r="K70" s="3"/>
      <c r="L70" s="2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2"/>
      <c r="J71" s="2"/>
      <c r="K71" s="3"/>
      <c r="L71" s="2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2"/>
      <c r="J72" s="2"/>
      <c r="K72" s="3"/>
      <c r="L72" s="2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2"/>
      <c r="J73" s="2"/>
      <c r="K73" s="3"/>
      <c r="L73" s="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2"/>
      <c r="J74" s="2"/>
      <c r="K74" s="3"/>
      <c r="L74" s="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2"/>
      <c r="J75" s="2"/>
      <c r="K75" s="3"/>
      <c r="L75" s="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2"/>
      <c r="J76" s="2"/>
      <c r="K76" s="3"/>
      <c r="L76" s="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2"/>
      <c r="J77" s="2"/>
      <c r="K77" s="3"/>
      <c r="L77" s="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2"/>
      <c r="J78" s="2"/>
      <c r="K78" s="3"/>
      <c r="L78" s="2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2"/>
      <c r="J79" s="2"/>
      <c r="K79" s="3"/>
      <c r="L79" s="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2"/>
      <c r="J80" s="2"/>
      <c r="K80" s="3"/>
      <c r="L80" s="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2"/>
      <c r="J81" s="2"/>
      <c r="K81" s="3"/>
      <c r="L81" s="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2"/>
      <c r="J82" s="2"/>
      <c r="K82" s="3"/>
      <c r="L82" s="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2"/>
      <c r="J83" s="2"/>
      <c r="K83" s="3"/>
      <c r="L83" s="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2"/>
      <c r="J84" s="2"/>
      <c r="K84" s="3"/>
      <c r="L84" s="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2"/>
      <c r="J85" s="2"/>
      <c r="K85" s="3"/>
      <c r="L85" s="2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2"/>
      <c r="J86" s="2"/>
      <c r="K86" s="3"/>
      <c r="L86" s="2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2"/>
      <c r="J87" s="2"/>
      <c r="K87" s="3"/>
      <c r="L87" s="2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2"/>
      <c r="J88" s="2"/>
      <c r="K88" s="3"/>
      <c r="L88" s="2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2"/>
      <c r="J89" s="2"/>
      <c r="K89" s="3"/>
      <c r="L89" s="2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2"/>
      <c r="J90" s="2"/>
      <c r="K90" s="3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2"/>
      <c r="J91" s="2"/>
      <c r="K91" s="3"/>
      <c r="L91" s="2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2"/>
      <c r="J92" s="2"/>
      <c r="K92" s="3"/>
      <c r="L92" s="2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2"/>
      <c r="J93" s="2"/>
      <c r="K93" s="3"/>
      <c r="L93" s="2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2"/>
      <c r="J94" s="2"/>
      <c r="K94" s="3"/>
      <c r="L94" s="2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2"/>
      <c r="J95" s="2"/>
      <c r="K95" s="3"/>
      <c r="L95" s="2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2"/>
      <c r="J96" s="2"/>
      <c r="K96" s="3"/>
      <c r="L96" s="2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2"/>
      <c r="J97" s="2"/>
      <c r="K97" s="3"/>
      <c r="L97" s="2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2"/>
      <c r="J98" s="2"/>
      <c r="K98" s="3"/>
      <c r="L98" s="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2"/>
      <c r="J99" s="2"/>
      <c r="K99" s="3"/>
      <c r="L99" s="2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2"/>
      <c r="J100" s="2"/>
      <c r="K100" s="3"/>
      <c r="L100" s="2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2"/>
      <c r="J101" s="2"/>
      <c r="K101" s="3"/>
      <c r="L101" s="2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2"/>
      <c r="J102" s="2"/>
      <c r="K102" s="3"/>
      <c r="L102" s="2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2"/>
      <c r="J103" s="2"/>
      <c r="K103" s="3"/>
      <c r="L103" s="2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2"/>
      <c r="J104" s="2"/>
      <c r="K104" s="3"/>
      <c r="L104" s="2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2"/>
      <c r="J105" s="2"/>
      <c r="K105" s="3"/>
      <c r="L105" s="2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2"/>
      <c r="J106" s="2"/>
      <c r="K106" s="3"/>
      <c r="L106" s="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2"/>
      <c r="J107" s="2"/>
      <c r="K107" s="3"/>
      <c r="L107" s="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2"/>
      <c r="J108" s="2"/>
      <c r="K108" s="3"/>
      <c r="L108" s="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2"/>
      <c r="J109" s="2"/>
      <c r="K109" s="3"/>
      <c r="L109" s="2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2"/>
      <c r="J110" s="2"/>
      <c r="K110" s="3"/>
      <c r="L110" s="2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2"/>
      <c r="J111" s="2"/>
      <c r="K111" s="3"/>
      <c r="L111" s="2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2"/>
      <c r="J112" s="2"/>
      <c r="K112" s="3"/>
      <c r="L112" s="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2"/>
      <c r="J113" s="2"/>
      <c r="K113" s="3"/>
      <c r="L113" s="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2"/>
      <c r="J114" s="2"/>
      <c r="K114" s="3"/>
      <c r="L114" s="2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2"/>
      <c r="J115" s="2"/>
      <c r="K115" s="3"/>
      <c r="L115" s="2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2"/>
      <c r="J116" s="2"/>
      <c r="K116" s="3"/>
      <c r="L116" s="2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2"/>
      <c r="J117" s="2"/>
      <c r="K117" s="3"/>
      <c r="L117" s="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2"/>
      <c r="J118" s="2"/>
      <c r="K118" s="3"/>
      <c r="L118" s="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2"/>
      <c r="J119" s="2"/>
      <c r="K119" s="3"/>
      <c r="L119" s="2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2"/>
      <c r="J120" s="2"/>
      <c r="K120" s="3"/>
      <c r="L120" s="2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2"/>
      <c r="J121" s="2"/>
      <c r="K121" s="3"/>
      <c r="L121" s="2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2"/>
      <c r="J122" s="2"/>
      <c r="K122" s="3"/>
      <c r="L122" s="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2"/>
      <c r="J123" s="2"/>
      <c r="K123" s="3"/>
      <c r="L123" s="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2"/>
      <c r="J124" s="2"/>
      <c r="K124" s="3"/>
      <c r="L124" s="2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2"/>
      <c r="J125" s="2"/>
      <c r="K125" s="3"/>
      <c r="L125" s="2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2"/>
      <c r="J126" s="2"/>
      <c r="K126" s="3"/>
      <c r="L126" s="2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2"/>
      <c r="J127" s="2"/>
      <c r="K127" s="3"/>
      <c r="L127" s="2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2"/>
      <c r="J128" s="2"/>
      <c r="K128" s="3"/>
      <c r="L128" s="2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2"/>
      <c r="J129" s="2"/>
      <c r="K129" s="3"/>
      <c r="L129" s="2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2"/>
      <c r="J130" s="2"/>
      <c r="K130" s="3"/>
      <c r="L130" s="2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2"/>
      <c r="J131" s="2"/>
      <c r="K131" s="3"/>
      <c r="L131" s="2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2"/>
      <c r="J132" s="2"/>
      <c r="K132" s="3"/>
      <c r="L132" s="2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2"/>
      <c r="J133" s="2"/>
      <c r="K133" s="3"/>
      <c r="L133" s="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2"/>
      <c r="J134" s="2"/>
      <c r="K134" s="3"/>
      <c r="L134" s="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2"/>
      <c r="J135" s="2"/>
      <c r="K135" s="3"/>
      <c r="L135" s="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2"/>
      <c r="J136" s="2"/>
      <c r="K136" s="3"/>
      <c r="L136" s="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2"/>
      <c r="J137" s="2"/>
      <c r="K137" s="3"/>
      <c r="L137" s="2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2"/>
      <c r="J138" s="2"/>
      <c r="K138" s="3"/>
      <c r="L138" s="2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2"/>
      <c r="J139" s="2"/>
      <c r="K139" s="3"/>
      <c r="L139" s="2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2"/>
      <c r="J140" s="2"/>
      <c r="K140" s="3"/>
      <c r="L140" s="2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2"/>
      <c r="J141" s="2"/>
      <c r="K141" s="3"/>
      <c r="L141" s="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2"/>
      <c r="J142" s="2"/>
      <c r="K142" s="3"/>
      <c r="L142" s="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2"/>
      <c r="J143" s="2"/>
      <c r="K143" s="3"/>
      <c r="L143" s="2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2"/>
      <c r="J144" s="2"/>
      <c r="K144" s="3"/>
      <c r="L144" s="2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2"/>
      <c r="J145" s="2"/>
      <c r="K145" s="3"/>
      <c r="L145" s="2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2"/>
      <c r="J146" s="2"/>
      <c r="K146" s="3"/>
      <c r="L146" s="2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2"/>
      <c r="J147" s="2"/>
      <c r="K147" s="3"/>
      <c r="L147" s="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2"/>
      <c r="J148" s="2"/>
      <c r="K148" s="3"/>
      <c r="L148" s="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2"/>
      <c r="J149" s="2"/>
      <c r="K149" s="3"/>
      <c r="L149" s="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2"/>
      <c r="J150" s="2"/>
      <c r="K150" s="3"/>
      <c r="L150" s="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2"/>
      <c r="J151" s="2"/>
      <c r="K151" s="3"/>
      <c r="L151" s="2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2"/>
      <c r="J152" s="2"/>
      <c r="K152" s="3"/>
      <c r="L152" s="2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2"/>
      <c r="J153" s="2"/>
      <c r="K153" s="3"/>
      <c r="L153" s="2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2"/>
      <c r="J154" s="2"/>
      <c r="K154" s="3"/>
      <c r="L154" s="2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2"/>
      <c r="J155" s="2"/>
      <c r="K155" s="3"/>
      <c r="L155" s="2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2"/>
      <c r="J156" s="2"/>
      <c r="K156" s="3"/>
      <c r="L156" s="2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2"/>
      <c r="J157" s="2"/>
      <c r="K157" s="3"/>
      <c r="L157" s="2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2"/>
      <c r="J158" s="2"/>
      <c r="K158" s="3"/>
      <c r="L158" s="2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2"/>
      <c r="J159" s="2"/>
      <c r="K159" s="3"/>
      <c r="L159" s="2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2"/>
      <c r="J160" s="2"/>
      <c r="K160" s="3"/>
      <c r="L160" s="2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2"/>
      <c r="J161" s="2"/>
      <c r="K161" s="3"/>
      <c r="L161" s="2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2"/>
      <c r="J162" s="2"/>
      <c r="K162" s="3"/>
      <c r="L162" s="2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2"/>
      <c r="J163" s="2"/>
      <c r="K163" s="3"/>
      <c r="L163" s="2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2"/>
      <c r="J164" s="2"/>
      <c r="K164" s="3"/>
      <c r="L164" s="2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2"/>
      <c r="J165" s="2"/>
      <c r="K165" s="3"/>
      <c r="L165" s="2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2"/>
      <c r="J166" s="2"/>
      <c r="K166" s="3"/>
      <c r="L166" s="2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2"/>
      <c r="J167" s="2"/>
      <c r="K167" s="3"/>
      <c r="L167" s="2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2"/>
      <c r="J168" s="2"/>
      <c r="K168" s="3"/>
      <c r="L168" s="2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2"/>
      <c r="J169" s="2"/>
      <c r="K169" s="3"/>
      <c r="L169" s="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2"/>
      <c r="J170" s="2"/>
      <c r="K170" s="3"/>
      <c r="L170" s="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2"/>
      <c r="J171" s="2"/>
      <c r="K171" s="3"/>
      <c r="L171" s="2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2"/>
      <c r="J172" s="2"/>
      <c r="K172" s="3"/>
      <c r="L172" s="2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2"/>
      <c r="J173" s="2"/>
      <c r="K173" s="3"/>
      <c r="L173" s="2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2"/>
      <c r="J174" s="2"/>
      <c r="K174" s="3"/>
      <c r="L174" s="2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2"/>
      <c r="J175" s="2"/>
      <c r="K175" s="3"/>
      <c r="L175" s="2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2"/>
      <c r="J176" s="2"/>
      <c r="K176" s="3"/>
      <c r="L176" s="2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2"/>
      <c r="J177" s="2"/>
      <c r="K177" s="3"/>
      <c r="L177" s="2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2"/>
      <c r="J178" s="2"/>
      <c r="K178" s="3"/>
      <c r="L178" s="2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2"/>
      <c r="J179" s="2"/>
      <c r="K179" s="3"/>
      <c r="L179" s="2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2"/>
      <c r="J180" s="2"/>
      <c r="K180" s="3"/>
      <c r="L180" s="2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2"/>
      <c r="J181" s="2"/>
      <c r="K181" s="3"/>
      <c r="L181" s="2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2"/>
      <c r="J182" s="2"/>
      <c r="K182" s="3"/>
      <c r="L182" s="2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2"/>
      <c r="J183" s="2"/>
      <c r="K183" s="3"/>
      <c r="L183" s="2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2"/>
      <c r="J184" s="2"/>
      <c r="K184" s="3"/>
      <c r="L184" s="2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2"/>
      <c r="J185" s="2"/>
      <c r="K185" s="3"/>
      <c r="L185" s="2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2"/>
      <c r="J186" s="2"/>
      <c r="K186" s="3"/>
      <c r="L186" s="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2"/>
      <c r="J187" s="2"/>
      <c r="K187" s="3"/>
      <c r="L187" s="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2"/>
      <c r="J188" s="2"/>
      <c r="K188" s="3"/>
      <c r="L188" s="2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2"/>
      <c r="J189" s="2"/>
      <c r="K189" s="3"/>
      <c r="L189" s="2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2"/>
      <c r="J190" s="2"/>
      <c r="K190" s="3"/>
      <c r="L190" s="2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2"/>
      <c r="J191" s="2"/>
      <c r="K191" s="3"/>
      <c r="L191" s="2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2"/>
      <c r="J192" s="2"/>
      <c r="K192" s="3"/>
      <c r="L192" s="2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2"/>
      <c r="J193" s="2"/>
      <c r="K193" s="3"/>
      <c r="L193" s="2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2"/>
      <c r="J194" s="2"/>
      <c r="K194" s="3"/>
      <c r="L194" s="2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2"/>
      <c r="J195" s="2"/>
      <c r="K195" s="3"/>
      <c r="L195" s="2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2"/>
      <c r="J196" s="2"/>
      <c r="K196" s="3"/>
      <c r="L196" s="2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2"/>
      <c r="J197" s="2"/>
      <c r="K197" s="3"/>
      <c r="L197" s="2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2"/>
      <c r="J198" s="2"/>
      <c r="K198" s="3"/>
      <c r="L198" s="2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2"/>
      <c r="J199" s="2"/>
      <c r="K199" s="3"/>
      <c r="L199" s="2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2"/>
      <c r="J200" s="2"/>
      <c r="K200" s="3"/>
      <c r="L200" s="2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2"/>
      <c r="J201" s="2"/>
      <c r="K201" s="3"/>
      <c r="L201" s="2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2"/>
      <c r="J202" s="2"/>
      <c r="K202" s="3"/>
      <c r="L202" s="2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2"/>
      <c r="J203" s="2"/>
      <c r="K203" s="3"/>
      <c r="L203" s="2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2"/>
      <c r="J204" s="2"/>
      <c r="K204" s="3"/>
      <c r="L204" s="2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2"/>
      <c r="J205" s="2"/>
      <c r="K205" s="3"/>
      <c r="L205" s="2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2"/>
      <c r="J206" s="2"/>
      <c r="K206" s="3"/>
      <c r="L206" s="2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2"/>
      <c r="J207" s="2"/>
      <c r="K207" s="3"/>
      <c r="L207" s="2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2"/>
      <c r="J208" s="2"/>
      <c r="K208" s="3"/>
      <c r="L208" s="2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2"/>
      <c r="J209" s="2"/>
      <c r="K209" s="3"/>
      <c r="L209" s="2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2"/>
      <c r="J210" s="2"/>
      <c r="K210" s="3"/>
      <c r="L210" s="2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2"/>
      <c r="J211" s="2"/>
      <c r="K211" s="3"/>
      <c r="L211" s="2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2"/>
      <c r="J212" s="2"/>
      <c r="K212" s="3"/>
      <c r="L212" s="2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2"/>
      <c r="J213" s="2"/>
      <c r="K213" s="3"/>
      <c r="L213" s="2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2"/>
      <c r="J214" s="2"/>
      <c r="K214" s="3"/>
      <c r="L214" s="2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2"/>
      <c r="J215" s="2"/>
      <c r="K215" s="3"/>
      <c r="L215" s="2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2"/>
      <c r="J216" s="2"/>
      <c r="K216" s="3"/>
      <c r="L216" s="2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2"/>
      <c r="J217" s="2"/>
      <c r="K217" s="3"/>
      <c r="L217" s="2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2"/>
      <c r="J218" s="2"/>
      <c r="K218" s="3"/>
      <c r="L218" s="2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2"/>
      <c r="J219" s="2"/>
      <c r="K219" s="3"/>
      <c r="L219" s="2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2"/>
      <c r="J220" s="2"/>
      <c r="K220" s="3"/>
      <c r="L220" s="2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2"/>
      <c r="J221" s="2"/>
      <c r="K221" s="3"/>
      <c r="L221" s="2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2"/>
      <c r="J222" s="2"/>
      <c r="K222" s="3"/>
      <c r="L222" s="2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2"/>
      <c r="J223" s="2"/>
      <c r="K223" s="3"/>
      <c r="L223" s="2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2"/>
      <c r="J224" s="2"/>
      <c r="K224" s="3"/>
      <c r="L224" s="2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2"/>
      <c r="J225" s="2"/>
      <c r="K225" s="3"/>
      <c r="L225" s="2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2"/>
      <c r="J226" s="2"/>
      <c r="K226" s="3"/>
      <c r="L226" s="2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2"/>
      <c r="J227" s="2"/>
      <c r="K227" s="3"/>
      <c r="L227" s="2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2"/>
      <c r="J228" s="2"/>
      <c r="K228" s="3"/>
      <c r="L228" s="2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2"/>
      <c r="J229" s="2"/>
      <c r="K229" s="3"/>
      <c r="L229" s="2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mergeCells count="1">
    <mergeCell ref="B3:O3"/>
  </mergeCells>
  <conditionalFormatting sqref="L6:L27">
    <cfRule type="colorScale" priority="1">
      <colorScale>
        <cfvo type="min"/>
        <cfvo type="max"/>
        <color rgb="FF57BB8A"/>
        <color rgb="FFFFFFFF"/>
      </colorScale>
    </cfRule>
  </conditionalFormatting>
  <conditionalFormatting sqref="L12:L19 L25:L27">
    <cfRule type="colorScale" priority="2">
      <colorScale>
        <cfvo type="min"/>
        <cfvo type="max"/>
        <color rgb="FF57BB8A"/>
        <color rgb="FFFFFFFF"/>
      </colorScale>
    </cfRule>
  </conditionalFormatting>
  <conditionalFormatting sqref="L10">
    <cfRule type="colorScale" priority="3">
      <colorScale>
        <cfvo type="min"/>
        <cfvo type="max"/>
        <color rgb="FF57BB8A"/>
        <color rgb="FFFFFFFF"/>
      </colorScale>
    </cfRule>
  </conditionalFormatting>
  <printOptions horizontalCentered="1"/>
  <pageMargins bottom="0.5511811023622047" footer="0.0" header="0.0" left="0.31496062992125984" right="0.31496062992125984" top="0.7480314960629921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2.63" defaultRowHeight="15.0"/>
  <cols>
    <col customWidth="1" min="1" max="1" width="9.38"/>
    <col customWidth="1" min="2" max="2" width="2.63"/>
    <col customWidth="1" min="3" max="15" width="10.63"/>
    <col customWidth="1" min="16" max="16" width="2.63"/>
    <col customWidth="1" min="17" max="26" width="9.38"/>
  </cols>
  <sheetData>
    <row r="2" ht="15.0" hidden="1" customHeight="1"/>
    <row r="3" ht="15.0" hidden="1" customHeight="1"/>
    <row r="4" hidden="1">
      <c r="C4" s="20"/>
      <c r="D4" s="20"/>
      <c r="E4" s="20"/>
      <c r="F4" s="21"/>
    </row>
    <row r="5" hidden="1">
      <c r="C5" s="20"/>
      <c r="D5" s="20"/>
      <c r="E5" s="20"/>
      <c r="F5" s="21"/>
    </row>
    <row r="6" ht="39.75" customHeight="1">
      <c r="B6" s="22" t="s">
        <v>183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6"/>
    </row>
    <row r="7" ht="9.75" customHeight="1">
      <c r="A7" s="23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 ht="9.75" customHeight="1">
      <c r="B8" s="25"/>
      <c r="C8" s="26"/>
      <c r="D8" s="26"/>
      <c r="E8" s="26"/>
      <c r="F8" s="27"/>
      <c r="G8" s="28"/>
      <c r="H8" s="28"/>
      <c r="I8" s="28"/>
      <c r="J8" s="28"/>
      <c r="K8" s="28"/>
      <c r="L8" s="28"/>
      <c r="M8" s="28"/>
      <c r="N8" s="28"/>
      <c r="O8" s="28"/>
      <c r="P8" s="29"/>
      <c r="Q8" s="23"/>
    </row>
    <row r="9" ht="30.0" customHeight="1">
      <c r="B9" s="30"/>
      <c r="C9" s="31" t="s">
        <v>1</v>
      </c>
      <c r="D9" s="32"/>
      <c r="E9" s="33" t="s">
        <v>184</v>
      </c>
      <c r="F9" s="6"/>
      <c r="G9" s="32"/>
      <c r="H9" s="33" t="s">
        <v>11</v>
      </c>
      <c r="I9" s="6"/>
      <c r="J9" s="34"/>
      <c r="K9" s="34"/>
      <c r="L9" s="34"/>
      <c r="M9" s="34"/>
      <c r="N9" s="34"/>
      <c r="O9" s="34"/>
      <c r="P9" s="35"/>
      <c r="Q9" s="23"/>
    </row>
    <row r="10" ht="30.0" customHeight="1">
      <c r="B10" s="30"/>
      <c r="C10" s="36" t="s">
        <v>36</v>
      </c>
      <c r="D10" s="37"/>
      <c r="E10" s="38" t="str">
        <f>VLOOKUP(C10,'Formato descripción HU'!B6:O23,5,0)</f>
        <v>Cliente, Asistente, Gerente</v>
      </c>
      <c r="F10" s="6"/>
      <c r="G10" s="39"/>
      <c r="H10" s="38" t="str">
        <f>VLOOKUP(C10,'Formato descripción HU'!B6:O23,11,0)</f>
        <v>No iniciado</v>
      </c>
      <c r="I10" s="6"/>
      <c r="J10" s="39"/>
      <c r="K10" s="34"/>
      <c r="L10" s="34"/>
      <c r="M10" s="34"/>
      <c r="N10" s="34"/>
      <c r="O10" s="34"/>
      <c r="P10" s="35"/>
      <c r="Q10" s="23"/>
    </row>
    <row r="11" ht="9.75" customHeight="1">
      <c r="A11" s="23"/>
      <c r="B11" s="30"/>
      <c r="C11" s="40"/>
      <c r="D11" s="37"/>
      <c r="E11" s="41"/>
      <c r="F11" s="41"/>
      <c r="G11" s="39"/>
      <c r="H11" s="41"/>
      <c r="I11" s="41"/>
      <c r="J11" s="39"/>
      <c r="K11" s="41"/>
      <c r="L11" s="41"/>
      <c r="M11" s="34"/>
      <c r="N11" s="41"/>
      <c r="O11" s="41"/>
      <c r="P11" s="35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 ht="30.0" customHeight="1">
      <c r="A12" s="23"/>
      <c r="B12" s="30"/>
      <c r="C12" s="31" t="s">
        <v>185</v>
      </c>
      <c r="D12" s="37"/>
      <c r="E12" s="33" t="s">
        <v>10</v>
      </c>
      <c r="F12" s="6"/>
      <c r="G12" s="39"/>
      <c r="H12" s="33" t="s">
        <v>186</v>
      </c>
      <c r="I12" s="6"/>
      <c r="J12" s="39"/>
      <c r="K12" s="41"/>
      <c r="L12" s="41"/>
      <c r="M12" s="34"/>
      <c r="N12" s="41"/>
      <c r="O12" s="41"/>
      <c r="P12" s="35"/>
      <c r="Q12" s="23"/>
      <c r="R12" s="23"/>
      <c r="S12" s="23"/>
      <c r="T12" s="23"/>
      <c r="U12" s="23"/>
      <c r="V12" s="23"/>
      <c r="W12" s="23"/>
      <c r="X12" s="23"/>
      <c r="Y12" s="23"/>
      <c r="Z12" s="23"/>
    </row>
    <row r="13" ht="30.0" customHeight="1">
      <c r="A13" s="23"/>
      <c r="B13" s="30"/>
      <c r="C13" s="42">
        <f>VLOOKUP('Historia de Usuario'!C10,'Formato descripción HU'!B6:O23,8,0)</f>
        <v>1.5</v>
      </c>
      <c r="D13" s="37"/>
      <c r="E13" s="38" t="str">
        <f>VLOOKUP(C10,'Formato descripción HU'!B6:O23,10,0)</f>
        <v>Alta</v>
      </c>
      <c r="F13" s="6"/>
      <c r="G13" s="39"/>
      <c r="H13" s="38" t="str">
        <f>VLOOKUP(C10,'Formato descripción HU'!B6:O23,7,0)</f>
        <v>Equipo de desarrollo</v>
      </c>
      <c r="I13" s="6"/>
      <c r="J13" s="39"/>
      <c r="K13" s="41"/>
      <c r="L13" s="41"/>
      <c r="M13" s="34"/>
      <c r="N13" s="41"/>
      <c r="O13" s="41"/>
      <c r="P13" s="35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 ht="9.75" customHeight="1">
      <c r="A14" s="23"/>
      <c r="B14" s="30"/>
      <c r="C14" s="34"/>
      <c r="D14" s="37"/>
      <c r="E14" s="34"/>
      <c r="F14" s="34"/>
      <c r="G14" s="39"/>
      <c r="H14" s="39"/>
      <c r="I14" s="34"/>
      <c r="J14" s="34"/>
      <c r="K14" s="34"/>
      <c r="L14" s="34"/>
      <c r="M14" s="34"/>
      <c r="N14" s="34"/>
      <c r="O14" s="34"/>
      <c r="P14" s="35"/>
      <c r="Q14" s="23"/>
      <c r="R14" s="23"/>
      <c r="S14" s="23"/>
      <c r="T14" s="23"/>
      <c r="U14" s="23"/>
      <c r="V14" s="23"/>
      <c r="W14" s="23"/>
      <c r="X14" s="23"/>
      <c r="Y14" s="23"/>
      <c r="Z14" s="23"/>
    </row>
    <row r="15" ht="19.5" customHeight="1">
      <c r="A15" s="23"/>
      <c r="B15" s="30"/>
      <c r="C15" s="43" t="s">
        <v>187</v>
      </c>
      <c r="D15" s="44" t="str">
        <f>VLOOKUP(C10,'Formato descripción HU'!B6:O23,3,0)</f>
        <v>El usuario necesita acceder al sistema según su rol.</v>
      </c>
      <c r="E15" s="45"/>
      <c r="F15" s="46"/>
      <c r="G15" s="43" t="s">
        <v>188</v>
      </c>
      <c r="H15" s="44" t="str">
        <f>VLOOKUP(C10,'Formato descripción HU'!B6:O23,4,0)</f>
        <v>Permitir inicio de sesión con validación de credenciales.</v>
      </c>
      <c r="I15" s="47"/>
      <c r="J15" s="45"/>
      <c r="K15" s="46"/>
      <c r="L15" s="43" t="s">
        <v>189</v>
      </c>
      <c r="M15" s="48" t="str">
        <f>VLOOKUP(C10,'Formato descripción HU'!B6:O23,6,0)</f>
        <v>Ingreso de correo y contraseña, validar existencia de usuario y exactitud de contraseña, identificar rol, redirigir a interfaz respectiva.</v>
      </c>
      <c r="N15" s="47"/>
      <c r="O15" s="45"/>
      <c r="P15" s="35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 ht="19.5" customHeight="1">
      <c r="A16" s="23"/>
      <c r="B16" s="30"/>
      <c r="C16" s="49"/>
      <c r="D16" s="50"/>
      <c r="E16" s="51"/>
      <c r="F16" s="46"/>
      <c r="G16" s="49"/>
      <c r="H16" s="50"/>
      <c r="J16" s="51"/>
      <c r="K16" s="46"/>
      <c r="L16" s="49"/>
      <c r="M16" s="50"/>
      <c r="O16" s="51"/>
      <c r="P16" s="35"/>
      <c r="Q16" s="23"/>
      <c r="R16" s="23"/>
      <c r="S16" s="23"/>
      <c r="T16" s="23"/>
      <c r="U16" s="23"/>
      <c r="V16" s="23"/>
      <c r="W16" s="23"/>
      <c r="X16" s="23"/>
      <c r="Y16" s="23"/>
      <c r="Z16" s="23"/>
    </row>
    <row r="17" ht="19.5" customHeight="1">
      <c r="A17" s="23"/>
      <c r="B17" s="30"/>
      <c r="C17" s="52"/>
      <c r="D17" s="53"/>
      <c r="E17" s="54"/>
      <c r="F17" s="46"/>
      <c r="G17" s="52"/>
      <c r="H17" s="53"/>
      <c r="I17" s="55"/>
      <c r="J17" s="54"/>
      <c r="K17" s="46"/>
      <c r="L17" s="52"/>
      <c r="M17" s="53"/>
      <c r="N17" s="55"/>
      <c r="O17" s="54"/>
      <c r="P17" s="35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 ht="9.75" customHeight="1">
      <c r="A18" s="23"/>
      <c r="B18" s="30"/>
      <c r="C18" s="34"/>
      <c r="D18" s="34"/>
      <c r="E18" s="34"/>
      <c r="F18" s="34"/>
      <c r="G18" s="39"/>
      <c r="H18" s="39"/>
      <c r="I18" s="39"/>
      <c r="J18" s="34"/>
      <c r="K18" s="34"/>
      <c r="L18" s="34"/>
      <c r="M18" s="34"/>
      <c r="N18" s="34"/>
      <c r="O18" s="34"/>
      <c r="P18" s="35"/>
      <c r="Q18" s="23"/>
      <c r="R18" s="23"/>
      <c r="S18" s="23"/>
      <c r="T18" s="23"/>
      <c r="U18" s="23"/>
      <c r="V18" s="23"/>
      <c r="W18" s="23"/>
      <c r="X18" s="23"/>
      <c r="Y18" s="23"/>
      <c r="Z18" s="23"/>
    </row>
    <row r="19" ht="19.5" customHeight="1">
      <c r="B19" s="30"/>
      <c r="C19" s="56" t="s">
        <v>190</v>
      </c>
      <c r="D19" s="45"/>
      <c r="E19" s="57" t="str">
        <f>VLOOKUP(C10,'Formato descripción HU'!B6:O23,14,0)</f>
        <v>Iniciar Sesión</v>
      </c>
      <c r="F19" s="58"/>
      <c r="G19" s="58"/>
      <c r="H19" s="58"/>
      <c r="I19" s="58"/>
      <c r="J19" s="58"/>
      <c r="K19" s="58"/>
      <c r="L19" s="58"/>
      <c r="M19" s="58"/>
      <c r="N19" s="58"/>
      <c r="O19" s="59"/>
      <c r="P19" s="35"/>
      <c r="Q19" s="23"/>
    </row>
    <row r="20" ht="19.5" customHeight="1">
      <c r="B20" s="30"/>
      <c r="C20" s="53"/>
      <c r="D20" s="54"/>
      <c r="E20" s="60"/>
      <c r="F20" s="61"/>
      <c r="G20" s="61"/>
      <c r="H20" s="61"/>
      <c r="I20" s="61"/>
      <c r="J20" s="61"/>
      <c r="K20" s="61"/>
      <c r="L20" s="61"/>
      <c r="M20" s="61"/>
      <c r="N20" s="61"/>
      <c r="O20" s="62"/>
      <c r="P20" s="35"/>
      <c r="Q20" s="23"/>
    </row>
    <row r="21" ht="9.75" customHeight="1">
      <c r="B21" s="30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5"/>
      <c r="Q21" s="23"/>
    </row>
    <row r="22" ht="19.5" customHeight="1">
      <c r="A22" s="23"/>
      <c r="B22" s="30"/>
      <c r="C22" s="63" t="s">
        <v>191</v>
      </c>
      <c r="D22" s="45"/>
      <c r="E22" s="64" t="str">
        <f>VLOOKUP(C10,'Formato descripción HU'!B6:O23,12,0)</f>
        <v>Verificar que solo usuarios con credenciales válidas accedan</v>
      </c>
      <c r="F22" s="47"/>
      <c r="G22" s="47"/>
      <c r="H22" s="45"/>
      <c r="I22" s="34"/>
      <c r="J22" s="63" t="s">
        <v>13</v>
      </c>
      <c r="K22" s="45"/>
      <c r="L22" s="65" t="str">
        <f>VLOOKUP(C10,'Formato descripción HU'!B6:O23,13,0)</f>
        <v>Se extiende con "Recuperar Contraseña" si el usuario lo solicita.</v>
      </c>
      <c r="M22" s="47"/>
      <c r="N22" s="47"/>
      <c r="O22" s="45"/>
      <c r="P22" s="35"/>
      <c r="Q22" s="23"/>
      <c r="R22" s="23"/>
      <c r="S22" s="23"/>
      <c r="T22" s="23"/>
      <c r="U22" s="23"/>
      <c r="V22" s="23"/>
      <c r="W22" s="23"/>
      <c r="X22" s="23"/>
      <c r="Y22" s="23"/>
      <c r="Z22" s="23"/>
    </row>
    <row r="23" ht="19.5" customHeight="1">
      <c r="A23" s="23"/>
      <c r="B23" s="30"/>
      <c r="C23" s="50"/>
      <c r="D23" s="51"/>
      <c r="E23" s="50"/>
      <c r="H23" s="51"/>
      <c r="I23" s="34"/>
      <c r="J23" s="50"/>
      <c r="K23" s="51"/>
      <c r="L23" s="50"/>
      <c r="O23" s="51"/>
      <c r="P23" s="35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 ht="19.5" customHeight="1">
      <c r="A24" s="23"/>
      <c r="B24" s="30"/>
      <c r="C24" s="53"/>
      <c r="D24" s="54"/>
      <c r="E24" s="53"/>
      <c r="F24" s="55"/>
      <c r="G24" s="55"/>
      <c r="H24" s="54"/>
      <c r="I24" s="34"/>
      <c r="J24" s="53"/>
      <c r="K24" s="54"/>
      <c r="L24" s="53"/>
      <c r="M24" s="55"/>
      <c r="N24" s="55"/>
      <c r="O24" s="54"/>
      <c r="P24" s="35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 ht="9.75" customHeight="1">
      <c r="A25" s="23"/>
      <c r="B25" s="66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8"/>
      <c r="Q25" s="23"/>
      <c r="R25" s="23"/>
      <c r="S25" s="23"/>
      <c r="T25" s="23"/>
      <c r="U25" s="23"/>
      <c r="V25" s="23"/>
      <c r="W25" s="23"/>
      <c r="X25" s="23"/>
      <c r="Y25" s="23"/>
      <c r="Z25" s="23"/>
    </row>
    <row r="26" ht="19.5" customHeight="1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 ht="19.5" customHeight="1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</row>
    <row r="28" ht="19.5" customHeight="1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</row>
    <row r="29" ht="19.5" customHeight="1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 ht="19.5" customHeight="1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</row>
    <row r="31" ht="19.5" customHeight="1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</row>
    <row r="32" ht="19.5" customHeight="1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</row>
    <row r="33" ht="19.5" customHeight="1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</row>
    <row r="34" ht="19.5" customHeight="1"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</row>
    <row r="35" ht="19.5" customHeight="1"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</row>
    <row r="36" ht="19.5" customHeight="1"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ht="19.5" customHeight="1"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ht="19.5" customHeight="1"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ht="19.5" customHeight="1"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ht="19.5" customHeight="1"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ht="19.5" customHeight="1"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ht="19.5" customHeight="1"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ht="19.5" customHeight="1"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ht="19.5" customHeight="1"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ht="19.5" customHeight="1"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ht="19.5" customHeight="1"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ht="19.5" customHeight="1"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  <row r="48" ht="19.5" customHeight="1"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</row>
    <row r="49" ht="19.5" customHeight="1"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</row>
    <row r="50" ht="19.5" customHeight="1"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</row>
    <row r="51" ht="19.5" customHeight="1"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</row>
    <row r="52" ht="19.5" customHeight="1"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</row>
    <row r="53" ht="19.5" customHeight="1"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</row>
    <row r="54" ht="19.5" customHeight="1"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</row>
    <row r="55" ht="15.75" customHeight="1"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B6:P6"/>
    <mergeCell ref="E9:F9"/>
    <mergeCell ref="H9:I9"/>
    <mergeCell ref="E10:F10"/>
    <mergeCell ref="H10:I10"/>
    <mergeCell ref="E12:F12"/>
    <mergeCell ref="E13:F13"/>
    <mergeCell ref="C15:C17"/>
    <mergeCell ref="C19:D20"/>
    <mergeCell ref="C22:D24"/>
    <mergeCell ref="E22:H24"/>
    <mergeCell ref="J22:K24"/>
    <mergeCell ref="L22:O24"/>
    <mergeCell ref="H12:I12"/>
    <mergeCell ref="H13:I13"/>
    <mergeCell ref="D15:E17"/>
    <mergeCell ref="G15:G17"/>
    <mergeCell ref="H15:J17"/>
    <mergeCell ref="L15:L17"/>
    <mergeCell ref="M15:O17"/>
    <mergeCell ref="E19:O20"/>
  </mergeCells>
  <conditionalFormatting sqref="H10:I11">
    <cfRule type="cellIs" dxfId="0" priority="1" operator="equal">
      <formula>"Atrasado"</formula>
    </cfRule>
  </conditionalFormatting>
  <conditionalFormatting sqref="H10:I11">
    <cfRule type="cellIs" dxfId="1" priority="2" operator="equal">
      <formula>"Terminado"</formula>
    </cfRule>
  </conditionalFormatting>
  <conditionalFormatting sqref="H10:I11">
    <cfRule type="cellIs" dxfId="2" priority="3" operator="equal">
      <formula>"En proceso"</formula>
    </cfRule>
  </conditionalFormatting>
  <conditionalFormatting sqref="H10:I11">
    <cfRule type="cellIs" dxfId="1" priority="4" operator="equal">
      <formula>"No Iniciado"</formula>
    </cfRule>
  </conditionalFormatting>
  <dataValidations>
    <dataValidation type="list" allowBlank="1" showErrorMessage="1" sqref="C10:C11">
      <formula1>'Formato descripción HU'!$B$6:$B$23</formula1>
    </dataValidation>
  </dataValidations>
  <printOptions horizontalCentered="1"/>
  <pageMargins bottom="0.7480314960629921" footer="0.0" header="0.0" left="0.7086614173228347" right="0.7086614173228347" top="0.7480314960629921"/>
  <pageSetup paperSize="9" orientation="landscape"/>
  <drawing r:id="rId1"/>
</worksheet>
</file>