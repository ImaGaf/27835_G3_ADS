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 1" sheetId="2" r:id="rId5"/>
    <sheet state="visible" name="burdonchart" sheetId="3" r:id="rId6"/>
    <sheet state="visible" name="Copia de burdonchart" sheetId="4" r:id="rId7"/>
    <sheet state="visible" name="Hoja 1" sheetId="5" r:id="rId8"/>
  </sheets>
  <definedNames/>
  <calcPr/>
  <extLst>
    <ext uri="GoogleSheetsCustomDataVersion2">
      <go:sheetsCustomData xmlns:go="http://customooxmlschemas.google.com/" r:id="rId9" roundtripDataChecksum="FyjzK5CEIXFiGN6rNX9izzRkthyFmckWXKE0185Ie6c="/>
    </ext>
  </extLst>
</workbook>
</file>

<file path=xl/sharedStrings.xml><?xml version="1.0" encoding="utf-8"?>
<sst xmlns="http://schemas.openxmlformats.org/spreadsheetml/2006/main" count="412" uniqueCount="169">
  <si>
    <t>ID</t>
  </si>
  <si>
    <t>Tema</t>
  </si>
  <si>
    <t>Como un..</t>
  </si>
  <si>
    <t>Necesito</t>
  </si>
  <si>
    <t>Así podré...</t>
  </si>
  <si>
    <t>Notas</t>
  </si>
  <si>
    <t>Prioridad</t>
  </si>
  <si>
    <t>Estado</t>
  </si>
  <si>
    <t>RF1.1</t>
  </si>
  <si>
    <t>Registro de Cuenta de Cliente</t>
  </si>
  <si>
    <t>Cliente</t>
  </si>
  <si>
    <t>Crear mi cuenta en el sistema con nombre, correo y contraseña</t>
  </si>
  <si>
    <t>Acceder al sistema y gestionar mis comprobantes de pago</t>
  </si>
  <si>
    <t>Alta</t>
  </si>
  <si>
    <t>En proceso</t>
  </si>
  <si>
    <t>RF1.2</t>
  </si>
  <si>
    <t>Gestión de Cuentas de Asistente</t>
  </si>
  <si>
    <t>Gerente</t>
  </si>
  <si>
    <t>Registrar nuevos asistentes administrativos desde mi panel</t>
  </si>
  <si>
    <t>Gestionar el personal que ayudará en operaciones administrativas</t>
  </si>
  <si>
    <t>RF1.3</t>
  </si>
  <si>
    <t>Inicio de Sesión Multirole</t>
  </si>
  <si>
    <t>Cliente, Asistente, Gerente</t>
  </si>
  <si>
    <t>Acceder al sistema según mi rol con mis credenciales</t>
  </si>
  <si>
    <t>Tener acceso seguro y diferenciado según mi tipo de usuario</t>
  </si>
  <si>
    <t>RF1.4</t>
  </si>
  <si>
    <t>Recuperación de Contraseña</t>
  </si>
  <si>
    <t>Recuperar mi acceso mediante verificación por correo</t>
  </si>
  <si>
    <t>Restablecer mi contraseña de forma segura cuando la olvide</t>
  </si>
  <si>
    <t>RF1.5</t>
  </si>
  <si>
    <t>Cierre Seguro de Sesión</t>
  </si>
  <si>
    <t>Cerrar mi sesión de forma segura</t>
  </si>
  <si>
    <t>Prevenir accesos no autorizados después de mi uso</t>
  </si>
  <si>
    <t>Media</t>
  </si>
  <si>
    <t>RF1.6</t>
  </si>
  <si>
    <t>Dashboard Personalizado</t>
  </si>
  <si>
    <t>Visualizar un dashboard personalizado según mi rol</t>
  </si>
  <si>
    <t>Acceder rápidamente a funcionalidades principales y datos relevantes</t>
  </si>
  <si>
    <t>RF2</t>
  </si>
  <si>
    <t>Carga y Registro de Comprobantes</t>
  </si>
  <si>
    <t>Ingresar datos del comprobante y adjuntar archivo</t>
  </si>
  <si>
    <t>Mantener registro digital de pagos realizados</t>
  </si>
  <si>
    <t>RF3</t>
  </si>
  <si>
    <t>Abono a Crédito Activo</t>
  </si>
  <si>
    <t>Cliente, Gerente</t>
  </si>
  <si>
    <t>Registrar pago y recalcular estado del crédito</t>
  </si>
  <si>
    <t>Mantener actualizado mi estado financiero</t>
  </si>
  <si>
    <t>RF4</t>
  </si>
  <si>
    <t>Importación Masiva de Facturación</t>
  </si>
  <si>
    <t>Gerente, Asistente</t>
  </si>
  <si>
    <t>Cargar archivos CSV/XLSX con datos de facturación</t>
  </si>
  <si>
    <t>Sincronizar información de sistemas externos</t>
  </si>
  <si>
    <t>RF5.1</t>
  </si>
  <si>
    <t>Otorgamiento de Crédito a Cliente</t>
  </si>
  <si>
    <t>Asignar crédito y cambiar estado del cliente</t>
  </si>
  <si>
    <t>Habilitar compras a crédito según política de la empresa</t>
  </si>
  <si>
    <t>RF5.2</t>
  </si>
  <si>
    <t>Pago de Cuotas en Línea</t>
  </si>
  <si>
    <t>Procesar pago de cuota mediante pasarela de pago</t>
  </si>
  <si>
    <t>Facilitar el cumplimiento de mis obligaciones desde cualquier lugar</t>
  </si>
  <si>
    <t>RF5.3</t>
  </si>
  <si>
    <t>Visualización de Condiciones del Crédito</t>
  </si>
  <si>
    <t>Visualizar términos, interés, cuotas y cronograma</t>
  </si>
  <si>
    <t>Mantenerme informado sobre mi obligación financiera</t>
  </si>
  <si>
    <t>RF5.4</t>
  </si>
  <si>
    <t>Seguimiento de Saldo y Cuotas</t>
  </si>
  <si>
    <t>Ver cuotas pagadas, pendientes y monto restante</t>
  </si>
  <si>
    <t>Hacer seguimiento de mi cumplimiento financiero</t>
  </si>
  <si>
    <t>RF5.5</t>
  </si>
  <si>
    <t>Descarga de Certificados de Pago</t>
  </si>
  <si>
    <t>Generar documento PDF con información de mis pagos</t>
  </si>
  <si>
    <t>Contar con respaldo formal de transacciones realizadas</t>
  </si>
  <si>
    <t>RF6.1</t>
  </si>
  <si>
    <t>Reporte Individual de Pagos</t>
  </si>
  <si>
    <t>Filtrar y visualizar pagos de un cliente particular</t>
  </si>
  <si>
    <t>Analizar comportamiento de pago individual</t>
  </si>
  <si>
    <t>RF6.2</t>
  </si>
  <si>
    <t>Reporte de Pagos por Fechas</t>
  </si>
  <si>
    <t>Consultar todos los pagos en un período específico</t>
  </si>
  <si>
    <t>Analizar flujo de caja y tendencias temporales</t>
  </si>
  <si>
    <t>RF6.3</t>
  </si>
  <si>
    <t>Reporte de Riesgo de Morosidad</t>
  </si>
  <si>
    <t>Asistente</t>
  </si>
  <si>
    <t>Listar clientes con pagos vencidos o en mora</t>
  </si>
  <si>
    <t>Realizar seguimiento y gestión de cobro</t>
  </si>
  <si>
    <t>RF6.4</t>
  </si>
  <si>
    <t>Búsqueda Rápida de Clientes</t>
  </si>
  <si>
    <t>Buscar y visualizar datos personales y de contacto del cliente</t>
  </si>
  <si>
    <t>Brindar atención y soporte al cliente</t>
  </si>
  <si>
    <t>RF6.5</t>
  </si>
  <si>
    <t>Consulta de Historial de Pagos</t>
  </si>
  <si>
    <t>Visualizar todos los pagos registrados de un cliente</t>
  </si>
  <si>
    <t>Brindar soporte y resolver consultas</t>
  </si>
  <si>
    <t>RF7</t>
  </si>
  <si>
    <t>Vista Global de Estado de Cuenta</t>
  </si>
  <si>
    <t>Visualizar créditos, pagos, cuotas e intereses</t>
  </si>
  <si>
    <t>Tener visión integral de mi situación financiera</t>
  </si>
  <si>
    <t>RF8.1</t>
  </si>
  <si>
    <t>Alerta de Vencimiento Crítico</t>
  </si>
  <si>
    <t>Cliente (receptor), Asistente (gestor)</t>
  </si>
  <si>
    <t>Recibir alerta cuando se aproxima fecha de vencimiento crítica</t>
  </si>
  <si>
    <t>Prevenir incumplimientos y mantenerme informado</t>
  </si>
  <si>
    <t>RF8.2</t>
  </si>
  <si>
    <t>Aviso Preventivo de Vencimiento</t>
  </si>
  <si>
    <t>Recibir alerta con anticipación sobre fechas de pago cercanas</t>
  </si>
  <si>
    <t>Recordar mis obligaciones y facilitar cumplimiento</t>
  </si>
  <si>
    <t>RF8.3</t>
  </si>
  <si>
    <t>Notificación de Deuda Vencida</t>
  </si>
  <si>
    <t>Recibir alerta sobre obligaciones no cumplidas en fecha</t>
  </si>
  <si>
    <t>Conocer estado de mi deuda y regularizar</t>
  </si>
  <si>
    <t>SPRINT 1</t>
  </si>
  <si>
    <t>Encargado</t>
  </si>
  <si>
    <t>Tiempo (Estimado en Hrs)</t>
  </si>
  <si>
    <t>Fernando Sandoval</t>
  </si>
  <si>
    <t>Zaith Manangón</t>
  </si>
  <si>
    <t>Simone Medina</t>
  </si>
  <si>
    <t>Oswaldo Tipan</t>
  </si>
  <si>
    <t>SPRINT 2</t>
  </si>
  <si>
    <t>Importación Masiva</t>
  </si>
  <si>
    <t>Sincronizar información de deudas externas rápidamente</t>
  </si>
  <si>
    <t>Ingresar datos de depósito y adjuntar archivo</t>
  </si>
  <si>
    <t>Mantener un registro digital de pagos realizados</t>
  </si>
  <si>
    <t>Visualizar créditos, pagos y cuotas</t>
  </si>
  <si>
    <t>Tener una visión integral de mi situación financiera</t>
  </si>
  <si>
    <t>Búsqueda Rápida</t>
  </si>
  <si>
    <t>Buscar datos de contacto por nombre o RUC</t>
  </si>
  <si>
    <t>Brindar atención rápida y gestionar pagos</t>
  </si>
  <si>
    <t>SPRINT 3</t>
  </si>
  <si>
    <t>Validar el pago y aplicarlo</t>
  </si>
  <si>
    <t>Actualizar el saldo real del cliente y emitir la conformidad del pago para que la deuda disminuya legalmente.</t>
  </si>
  <si>
    <t>Reporte de Pagos</t>
  </si>
  <si>
    <t>Ver pagos por fechas</t>
  </si>
  <si>
    <t>Analizar el flujo de caja mensual y tomar decisiones financieras basadas en la liquidez real obtenida por cobranzas</t>
  </si>
  <si>
    <t>Historial de Pagos</t>
  </si>
  <si>
    <t>Ver todos los pagos de un cliente</t>
  </si>
  <si>
    <t>Brindar soporte detallado ante reclamos, verificando fechas y montos de depósitos previos para resolver dudas de cobro.</t>
  </si>
  <si>
    <t>Lista de Morosos</t>
  </si>
  <si>
    <t>Listar clientes vencidos</t>
  </si>
  <si>
    <t>Identificar rápidamente a las personas con retrasos para iniciar gestiones de cobranza preventiva y evitar pérdidas.</t>
  </si>
  <si>
    <t>SPRINT 4</t>
  </si>
  <si>
    <t>Recibir alerta cuando se aproxima la fecha crítica</t>
  </si>
  <si>
    <t>Prevenir incumplimientos accidentales de último minuto y mantenerme informado sobre el cierre inminente de mi periodo de pago sin recargos.</t>
  </si>
  <si>
    <t>Recibir alerta con anticipación sobre fechas de pago</t>
  </si>
  <si>
    <t>Recordar obligaciones financieras y facilitar el cumplimiento oportuno del cronograma.</t>
  </si>
  <si>
    <t>Recibir alerta sobre obligaciones no cumplidas</t>
  </si>
  <si>
    <t>Conocer el estado de la deuda de forma inmediata para proceder antes de que se generen más intereses o reportes negativos.</t>
  </si>
  <si>
    <t>RF7.2</t>
  </si>
  <si>
    <t>Habilitar compras a crédito según la política de la empresa, permitiendo que clientes de forma segura en la plataforma.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</si>
  <si>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</si>
  <si>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</si>
  <si>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</si>
  <si>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</si>
  <si>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</si>
  <si>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</si>
  <si>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</si>
  <si>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</si>
  <si>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</si>
  <si>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Sprint 1, se completaron satisfactoriamente las 19 horas estimadas distribuidas a lo largo de 5 días de trabajo para implementar el módulo fundamental de Gestión de Autenticación y Acceso al Sistema.
El equipo logró entregar los 6 requisitos funcionales planificados (RF1.1 - RF1.6), cumpliendo con los objetivos establecidos</t>
  </si>
  <si>
    <t>REQUERIMIENTO</t>
  </si>
  <si>
    <t>Dia 15</t>
  </si>
  <si>
    <t>Dia 14</t>
  </si>
  <si>
    <t>Dia 13</t>
  </si>
  <si>
    <t>Dia 12</t>
  </si>
  <si>
    <t>Dia 11</t>
  </si>
  <si>
    <t>Dia 10</t>
  </si>
  <si>
    <t>Dia 9</t>
  </si>
  <si>
    <t>Dia 8</t>
  </si>
  <si>
    <t>Dia 7</t>
  </si>
  <si>
    <t>Dia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</si>
</sst>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FF0000"/>
      <name val="Arial"/>
    </font>
    <font>
      <sz val="12.0"/>
      <color rgb="FFFF0000"/>
      <name val="Arial"/>
    </font>
    <font>
      <sz val="10.0"/>
      <color rgb="FF2F5496"/>
      <name val="Arial"/>
    </font>
    <font>
      <sz val="10.0"/>
      <color rgb="FF0000FF"/>
      <name val="Arial"/>
    </font>
    <font>
      <b/>
      <sz val="18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4472C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AD1DC"/>
        <bgColor rgb="FFEAD1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3" numFmtId="0" xfId="0" applyFont="1"/>
    <xf borderId="0" fillId="0" fontId="5" numFmtId="0" xfId="0" applyAlignment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7" numFmtId="0" xfId="0" applyFont="1"/>
    <xf borderId="0" fillId="0" fontId="5" numFmtId="0" xfId="0" applyAlignment="1" applyFont="1">
      <alignment readingOrder="0" vertical="center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readingOrder="0" shrinkToFit="0" wrapText="1"/>
    </xf>
    <xf borderId="0" fillId="0" fontId="8" numFmtId="0" xfId="0" applyFont="1"/>
    <xf borderId="1" fillId="0" fontId="8" numFmtId="0" xfId="0" applyBorder="1" applyFont="1"/>
    <xf borderId="1" fillId="0" fontId="8" numFmtId="0" xfId="0" applyAlignment="1" applyBorder="1" applyFont="1">
      <alignment horizontal="right"/>
    </xf>
    <xf borderId="1" fillId="2" fontId="8" numFmtId="0" xfId="0" applyAlignment="1" applyBorder="1" applyFill="1" applyFont="1">
      <alignment horizontal="right"/>
    </xf>
    <xf borderId="1" fillId="0" fontId="7" numFmtId="0" xfId="0" applyBorder="1" applyFont="1"/>
    <xf borderId="1" fillId="0" fontId="7" numFmtId="0" xfId="0" applyBorder="1" applyFont="1"/>
    <xf borderId="4" fillId="3" fontId="8" numFmtId="0" xfId="0" applyBorder="1" applyFill="1" applyFont="1"/>
    <xf borderId="5" fillId="0" fontId="8" numFmtId="0" xfId="0" applyBorder="1" applyFont="1"/>
    <xf borderId="1" fillId="3" fontId="8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9" numFmtId="0" xfId="0" applyFont="1"/>
    <xf borderId="6" fillId="0" fontId="10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center" vertical="bottom"/>
    </xf>
    <xf borderId="8" fillId="4" fontId="10" numFmtId="0" xfId="0" applyAlignment="1" applyBorder="1" applyFill="1" applyFont="1">
      <alignment horizontal="center" vertical="bottom"/>
    </xf>
    <xf borderId="8" fillId="4" fontId="10" numFmtId="0" xfId="0" applyAlignment="1" applyBorder="1" applyFont="1">
      <alignment horizontal="center" vertical="bottom"/>
    </xf>
    <xf borderId="9" fillId="0" fontId="10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shrinkToFit="0" vertical="top" wrapText="1"/>
    </xf>
    <xf borderId="10" fillId="6" fontId="11" numFmtId="0" xfId="0" applyAlignment="1" applyBorder="1" applyFill="1" applyFont="1">
      <alignment horizontal="center" readingOrder="0"/>
    </xf>
    <xf borderId="10" fillId="5" fontId="11" numFmtId="0" xfId="0" applyAlignment="1" applyBorder="1" applyFont="1">
      <alignment horizontal="center"/>
    </xf>
    <xf borderId="10" fillId="5" fontId="11" numFmtId="0" xfId="0" applyAlignment="1" applyBorder="1" applyFont="1">
      <alignment horizontal="center"/>
    </xf>
    <xf borderId="10" fillId="5" fontId="11" numFmtId="0" xfId="0" applyAlignment="1" applyBorder="1" applyFont="1">
      <alignment horizontal="center" readingOrder="0"/>
    </xf>
    <xf borderId="11" fillId="7" fontId="11" numFmtId="0" xfId="0" applyAlignment="1" applyBorder="1" applyFill="1" applyFont="1">
      <alignment horizontal="center"/>
    </xf>
    <xf borderId="1" fillId="6" fontId="11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/>
    </xf>
    <xf borderId="1" fillId="5" fontId="11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/>
    </xf>
    <xf borderId="1" fillId="6" fontId="11" numFmtId="0" xfId="0" applyAlignment="1" applyBorder="1" applyFont="1">
      <alignment horizontal="center"/>
    </xf>
    <xf borderId="12" fillId="4" fontId="12" numFmtId="0" xfId="0" applyAlignment="1" applyBorder="1" applyFont="1">
      <alignment readingOrder="0" vertical="bottom"/>
    </xf>
    <xf borderId="10" fillId="6" fontId="11" numFmtId="0" xfId="0" applyAlignment="1" applyBorder="1" applyFont="1">
      <alignment horizontal="center"/>
    </xf>
    <xf borderId="10" fillId="4" fontId="11" numFmtId="0" xfId="0" applyAlignment="1" applyBorder="1" applyFont="1">
      <alignment horizontal="center"/>
    </xf>
    <xf borderId="10" fillId="4" fontId="11" numFmtId="0" xfId="0" applyAlignment="1" applyBorder="1" applyFont="1">
      <alignment horizontal="right" vertical="bottom"/>
    </xf>
    <xf borderId="13" fillId="4" fontId="12" numFmtId="0" xfId="0" applyAlignment="1" applyBorder="1" applyFont="1">
      <alignment readingOrder="0" vertical="bottom"/>
    </xf>
    <xf borderId="1" fillId="6" fontId="11" numFmtId="0" xfId="0" applyAlignment="1" applyBorder="1" applyFont="1">
      <alignment horizontal="center"/>
    </xf>
    <xf borderId="1" fillId="4" fontId="11" numFmtId="0" xfId="0" applyAlignment="1" applyBorder="1" applyFont="1">
      <alignment horizontal="center"/>
    </xf>
    <xf borderId="1" fillId="4" fontId="11" numFmtId="0" xfId="0" applyAlignment="1" applyBorder="1" applyFont="1">
      <alignment horizontal="right" vertical="bottom"/>
    </xf>
    <xf borderId="1" fillId="8" fontId="12" numFmtId="0" xfId="0" applyAlignment="1" applyBorder="1" applyFill="1" applyFont="1">
      <alignment readingOrder="0" vertical="bottom"/>
    </xf>
    <xf borderId="1" fillId="9" fontId="11" numFmtId="0" xfId="0" applyAlignment="1" applyBorder="1" applyFill="1" applyFont="1">
      <alignment horizontal="center" readingOrder="0"/>
    </xf>
    <xf borderId="1" fillId="8" fontId="11" numFmtId="0" xfId="0" applyAlignment="1" applyBorder="1" applyFont="1">
      <alignment horizontal="center"/>
    </xf>
    <xf borderId="1" fillId="8" fontId="11" numFmtId="0" xfId="0" applyAlignment="1" applyBorder="1" applyFont="1">
      <alignment horizontal="center" readingOrder="0"/>
    </xf>
    <xf borderId="14" fillId="8" fontId="11" numFmtId="0" xfId="0" applyAlignment="1" applyBorder="1" applyFont="1">
      <alignment horizontal="center"/>
    </xf>
    <xf borderId="1" fillId="10" fontId="12" numFmtId="0" xfId="0" applyAlignment="1" applyBorder="1" applyFill="1" applyFont="1">
      <alignment readingOrder="0" vertical="bottom"/>
    </xf>
    <xf borderId="1" fillId="10" fontId="11" numFmtId="0" xfId="0" applyAlignment="1" applyBorder="1" applyFont="1">
      <alignment horizontal="center" readingOrder="0"/>
    </xf>
    <xf borderId="1" fillId="10" fontId="11" numFmtId="0" xfId="0" applyAlignment="1" applyBorder="1" applyFont="1">
      <alignment horizontal="center"/>
    </xf>
    <xf borderId="14" fillId="10" fontId="11" numFmtId="0" xfId="0" applyAlignment="1" applyBorder="1" applyFont="1">
      <alignment horizontal="center"/>
    </xf>
    <xf borderId="15" fillId="10" fontId="12" numFmtId="0" xfId="0" applyAlignment="1" applyBorder="1" applyFont="1">
      <alignment readingOrder="0" vertical="bottom"/>
    </xf>
    <xf borderId="5" fillId="6" fontId="11" numFmtId="0" xfId="0" applyAlignment="1" applyBorder="1" applyFont="1">
      <alignment horizontal="center" readingOrder="0"/>
    </xf>
    <xf borderId="5" fillId="10" fontId="11" numFmtId="0" xfId="0" applyAlignment="1" applyBorder="1" applyFont="1">
      <alignment horizontal="center"/>
    </xf>
    <xf borderId="5" fillId="10" fontId="11" numFmtId="0" xfId="0" applyAlignment="1" applyBorder="1" applyFont="1">
      <alignment horizontal="center" readingOrder="0"/>
    </xf>
    <xf borderId="10" fillId="10" fontId="11" numFmtId="0" xfId="0" applyAlignment="1" applyBorder="1" applyFont="1">
      <alignment horizontal="center"/>
    </xf>
    <xf borderId="13" fillId="10" fontId="12" numFmtId="0" xfId="0" applyAlignment="1" applyBorder="1" applyFont="1">
      <alignment readingOrder="0" vertical="bottom"/>
    </xf>
    <xf borderId="10" fillId="10" fontId="11" numFmtId="0" xfId="0" applyAlignment="1" applyBorder="1" applyFont="1">
      <alignment horizontal="center" readingOrder="0"/>
    </xf>
    <xf borderId="13" fillId="3" fontId="11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16" fillId="0" fontId="11" numFmtId="0" xfId="0" applyAlignment="1" applyBorder="1" applyFont="1">
      <alignment vertical="bottom"/>
    </xf>
    <xf borderId="17" fillId="3" fontId="11" numFmtId="0" xfId="0" applyAlignment="1" applyBorder="1" applyFont="1">
      <alignment vertical="bottom"/>
    </xf>
    <xf borderId="14" fillId="0" fontId="11" numFmtId="0" xfId="0" applyAlignment="1" applyBorder="1" applyFont="1">
      <alignment horizontal="right" vertical="bottom"/>
    </xf>
    <xf borderId="18" fillId="0" fontId="11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burdonchart-style">
      <tableStyleElement dxfId="1" type="headerRow"/>
      <tableStyleElement dxfId="2" type="firstRowStripe"/>
      <tableStyleElement dxfId="3" type="secondRowStripe"/>
    </tableStyle>
    <tableStyle count="3" pivot="0" name="Copia de burdonchart-style">
      <tableStyleElement dxfId="1" type="headerRow"/>
      <tableStyleElement dxfId="2" type="firstRowStripe"/>
      <tableStyleElement dxfId="3" type="secondRowStripe"/>
    </tableStyle>
    <tableStyle count="3" pivot="0" name="Copia de burdonchart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/>
            </c:numRef>
          </c:val>
          <c:smooth val="0"/>
        </c:ser>
        <c:axId val="1631586860"/>
        <c:axId val="1675414797"/>
      </c:lineChart>
      <c:catAx>
        <c:axId val="163158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5414797"/>
      </c:catAx>
      <c:valAx>
        <c:axId val="1675414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158686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8725041"/>
          <c:h val="0.789938804819209"/>
        </c:manualLayout>
      </c:layout>
      <c:lineChart>
        <c:ser>
          <c:idx val="0"/>
          <c:order val="0"/>
          <c:tx>
            <c:v>Tiempo Real 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'Copia de burdonchart'!$C$22:$R$22</c:f>
              <c:numCache/>
            </c:numRef>
          </c:val>
          <c:smooth val="0"/>
        </c:ser>
        <c:ser>
          <c:idx val="1"/>
          <c:order val="1"/>
          <c:tx>
            <c:v>Tiempo Estimado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'Copia de burdonchart'!$C$23:$R$23</c:f>
              <c:numCache/>
            </c:numRef>
          </c:val>
          <c:smooth val="0"/>
        </c:ser>
        <c:axId val="1474858946"/>
        <c:axId val="663934457"/>
      </c:lineChart>
      <c:catAx>
        <c:axId val="1474858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663934457"/>
      </c:catAx>
      <c:valAx>
        <c:axId val="663934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74858946"/>
      </c:valAx>
    </c:plotArea>
    <c:legend>
      <c:legendPos val="b"/>
      <c:legendEntry>
        <c:idx val="0"/>
        <c:txPr>
          <a:bodyPr/>
          <a:lstStyle/>
          <a:p>
            <a:pPr lvl="0">
              <a:defRPr b="1" i="0"/>
            </a:pPr>
          </a:p>
        </c:txPr>
      </c:legendEntry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200025</xdr:colOff>
      <xdr:row>2</xdr:row>
      <xdr:rowOff>95250</xdr:rowOff>
    </xdr:from>
    <xdr:ext cx="5715000" cy="3533775"/>
    <xdr:graphicFrame>
      <xdr:nvGraphicFramePr>
        <xdr:cNvPr id="36287300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26</xdr:row>
      <xdr:rowOff>123825</xdr:rowOff>
    </xdr:from>
    <xdr:ext cx="10591800" cy="3552825"/>
    <xdr:graphicFrame>
      <xdr:nvGraphicFramePr>
        <xdr:cNvPr id="85108375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4:I7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E4:E7" displayName="Table_2" name="Table_2" id="2">
  <tableColumns count="1">
    <tableColumn name="Column1" id="1"/>
  </tableColumns>
  <tableStyleInfo name="Copia de 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S4:S21" displayName="Table_3" name="Table_3" id="3">
  <tableColumns count="1">
    <tableColumn name="Column1" id="1"/>
  </tableColumns>
  <tableStyleInfo name="Copia de burdonchar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41.5"/>
    <col customWidth="1" min="5" max="5" width="54.5"/>
    <col customWidth="1" min="6" max="6" width="32.38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4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/>
      <c r="G3" s="4" t="s">
        <v>13</v>
      </c>
      <c r="H3" s="4" t="s">
        <v>14</v>
      </c>
    </row>
    <row r="4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/>
      <c r="G4" s="4" t="s">
        <v>13</v>
      </c>
      <c r="H4" s="4" t="s">
        <v>14</v>
      </c>
    </row>
    <row r="5">
      <c r="A5" s="3" t="s">
        <v>25</v>
      </c>
      <c r="B5" s="4" t="s">
        <v>26</v>
      </c>
      <c r="C5" s="4" t="s">
        <v>22</v>
      </c>
      <c r="D5" s="4" t="s">
        <v>27</v>
      </c>
      <c r="E5" s="4" t="s">
        <v>28</v>
      </c>
      <c r="F5" s="4"/>
      <c r="G5" s="4" t="s">
        <v>13</v>
      </c>
      <c r="H5" s="4" t="s">
        <v>14</v>
      </c>
    </row>
    <row r="6">
      <c r="A6" s="3" t="s">
        <v>29</v>
      </c>
      <c r="B6" s="4" t="s">
        <v>30</v>
      </c>
      <c r="C6" s="4" t="s">
        <v>22</v>
      </c>
      <c r="D6" s="4" t="s">
        <v>31</v>
      </c>
      <c r="E6" s="4" t="s">
        <v>32</v>
      </c>
      <c r="F6" s="4"/>
      <c r="G6" s="4" t="s">
        <v>33</v>
      </c>
      <c r="H6" s="4" t="s">
        <v>14</v>
      </c>
    </row>
    <row r="7">
      <c r="A7" s="3" t="s">
        <v>34</v>
      </c>
      <c r="B7" s="4" t="s">
        <v>35</v>
      </c>
      <c r="C7" s="4" t="s">
        <v>22</v>
      </c>
      <c r="D7" s="4" t="s">
        <v>36</v>
      </c>
      <c r="E7" s="4" t="s">
        <v>37</v>
      </c>
      <c r="F7" s="4"/>
      <c r="G7" s="4" t="s">
        <v>13</v>
      </c>
      <c r="H7" s="4" t="s">
        <v>14</v>
      </c>
    </row>
    <row r="8" ht="15.75" customHeight="1">
      <c r="A8" s="3" t="s">
        <v>38</v>
      </c>
      <c r="B8" s="4" t="s">
        <v>39</v>
      </c>
      <c r="C8" s="4" t="s">
        <v>22</v>
      </c>
      <c r="D8" s="4" t="s">
        <v>40</v>
      </c>
      <c r="E8" s="4" t="s">
        <v>41</v>
      </c>
      <c r="F8" s="4"/>
      <c r="G8" s="4" t="s">
        <v>13</v>
      </c>
      <c r="H8" s="4" t="s">
        <v>14</v>
      </c>
    </row>
    <row r="9" ht="15.75" customHeight="1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/>
      <c r="G9" s="4" t="s">
        <v>13</v>
      </c>
      <c r="H9" s="4" t="s">
        <v>14</v>
      </c>
    </row>
    <row r="10" ht="15.75" customHeight="1">
      <c r="A10" s="3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/>
      <c r="G10" s="4" t="s">
        <v>33</v>
      </c>
      <c r="H10" s="4" t="s">
        <v>14</v>
      </c>
    </row>
    <row r="11" ht="15.75" customHeight="1">
      <c r="A11" s="3" t="s">
        <v>52</v>
      </c>
      <c r="B11" s="4" t="s">
        <v>53</v>
      </c>
      <c r="C11" s="4" t="s">
        <v>17</v>
      </c>
      <c r="D11" s="4" t="s">
        <v>54</v>
      </c>
      <c r="E11" s="4" t="s">
        <v>55</v>
      </c>
      <c r="F11" s="4"/>
      <c r="G11" s="4" t="s">
        <v>13</v>
      </c>
      <c r="H11" s="4" t="s">
        <v>14</v>
      </c>
    </row>
    <row r="12" ht="15.75" customHeight="1">
      <c r="A12" s="3" t="s">
        <v>56</v>
      </c>
      <c r="B12" s="4" t="s">
        <v>57</v>
      </c>
      <c r="C12" s="4" t="s">
        <v>10</v>
      </c>
      <c r="D12" s="4" t="s">
        <v>58</v>
      </c>
      <c r="E12" s="4" t="s">
        <v>59</v>
      </c>
      <c r="F12" s="4"/>
      <c r="G12" s="4" t="s">
        <v>13</v>
      </c>
      <c r="H12" s="4" t="s">
        <v>14</v>
      </c>
    </row>
    <row r="13" ht="33.75" customHeight="1">
      <c r="A13" s="3" t="s">
        <v>60</v>
      </c>
      <c r="B13" s="4" t="s">
        <v>61</v>
      </c>
      <c r="C13" s="4" t="s">
        <v>10</v>
      </c>
      <c r="D13" s="4" t="s">
        <v>62</v>
      </c>
      <c r="E13" s="4" t="s">
        <v>63</v>
      </c>
      <c r="F13" s="4"/>
      <c r="G13" s="4" t="s">
        <v>33</v>
      </c>
      <c r="H13" s="4" t="s">
        <v>14</v>
      </c>
    </row>
    <row r="14" ht="15.75" customHeight="1">
      <c r="A14" s="3" t="s">
        <v>64</v>
      </c>
      <c r="B14" s="4" t="s">
        <v>65</v>
      </c>
      <c r="C14" s="4" t="s">
        <v>10</v>
      </c>
      <c r="D14" s="4" t="s">
        <v>66</v>
      </c>
      <c r="E14" s="4" t="s">
        <v>67</v>
      </c>
      <c r="F14" s="4"/>
      <c r="G14" s="4" t="s">
        <v>13</v>
      </c>
      <c r="H14" s="4" t="s">
        <v>14</v>
      </c>
    </row>
    <row r="15" ht="15.75" customHeight="1">
      <c r="A15" s="3" t="s">
        <v>68</v>
      </c>
      <c r="B15" s="4" t="s">
        <v>69</v>
      </c>
      <c r="C15" s="4" t="s">
        <v>10</v>
      </c>
      <c r="D15" s="4" t="s">
        <v>70</v>
      </c>
      <c r="E15" s="4" t="s">
        <v>71</v>
      </c>
      <c r="F15" s="4"/>
      <c r="G15" s="4" t="s">
        <v>33</v>
      </c>
      <c r="H15" s="4" t="s">
        <v>14</v>
      </c>
    </row>
    <row r="16" ht="15.75" customHeight="1">
      <c r="A16" s="3" t="s">
        <v>72</v>
      </c>
      <c r="B16" s="4" t="s">
        <v>73</v>
      </c>
      <c r="C16" s="4" t="s">
        <v>17</v>
      </c>
      <c r="D16" s="4" t="s">
        <v>74</v>
      </c>
      <c r="E16" s="4" t="s">
        <v>75</v>
      </c>
      <c r="F16" s="4"/>
      <c r="G16" s="4" t="s">
        <v>13</v>
      </c>
      <c r="H16" s="4" t="s">
        <v>14</v>
      </c>
    </row>
    <row r="17" ht="15.75" customHeight="1">
      <c r="A17" s="3" t="s">
        <v>76</v>
      </c>
      <c r="B17" s="4" t="s">
        <v>77</v>
      </c>
      <c r="C17" s="4" t="s">
        <v>17</v>
      </c>
      <c r="D17" s="4" t="s">
        <v>78</v>
      </c>
      <c r="E17" s="4" t="s">
        <v>79</v>
      </c>
      <c r="F17" s="4"/>
      <c r="G17" s="4" t="s">
        <v>13</v>
      </c>
      <c r="H17" s="4" t="s">
        <v>14</v>
      </c>
    </row>
    <row r="18" ht="32.25" customHeight="1">
      <c r="A18" s="3" t="s">
        <v>80</v>
      </c>
      <c r="B18" s="4" t="s">
        <v>81</v>
      </c>
      <c r="C18" s="4" t="s">
        <v>82</v>
      </c>
      <c r="D18" s="4" t="s">
        <v>83</v>
      </c>
      <c r="E18" s="4" t="s">
        <v>84</v>
      </c>
      <c r="F18" s="4"/>
      <c r="G18" s="4" t="s">
        <v>13</v>
      </c>
      <c r="H18" s="4" t="s">
        <v>14</v>
      </c>
    </row>
    <row r="19" ht="15.75" customHeight="1">
      <c r="A19" s="3" t="s">
        <v>85</v>
      </c>
      <c r="B19" s="4" t="s">
        <v>86</v>
      </c>
      <c r="C19" s="4" t="s">
        <v>82</v>
      </c>
      <c r="D19" s="4" t="s">
        <v>87</v>
      </c>
      <c r="E19" s="4" t="s">
        <v>88</v>
      </c>
      <c r="F19" s="4"/>
      <c r="G19" s="4" t="s">
        <v>33</v>
      </c>
      <c r="H19" s="4" t="s">
        <v>14</v>
      </c>
    </row>
    <row r="20" ht="15.75" customHeight="1">
      <c r="A20" s="3" t="s">
        <v>89</v>
      </c>
      <c r="B20" s="4" t="s">
        <v>90</v>
      </c>
      <c r="C20" s="4" t="s">
        <v>82</v>
      </c>
      <c r="D20" s="4" t="s">
        <v>91</v>
      </c>
      <c r="E20" s="4" t="s">
        <v>92</v>
      </c>
      <c r="F20" s="4"/>
      <c r="G20" s="4" t="s">
        <v>33</v>
      </c>
      <c r="H20" s="4" t="s">
        <v>14</v>
      </c>
    </row>
    <row r="21" ht="15.75" customHeight="1">
      <c r="A21" s="3" t="s">
        <v>93</v>
      </c>
      <c r="B21" s="4" t="s">
        <v>94</v>
      </c>
      <c r="C21" s="4" t="s">
        <v>22</v>
      </c>
      <c r="D21" s="4" t="s">
        <v>95</v>
      </c>
      <c r="E21" s="4" t="s">
        <v>96</v>
      </c>
      <c r="F21" s="4"/>
      <c r="G21" s="4" t="s">
        <v>13</v>
      </c>
      <c r="H21" s="4" t="s">
        <v>14</v>
      </c>
    </row>
    <row r="22" ht="15.75" customHeight="1">
      <c r="A22" s="3" t="s">
        <v>97</v>
      </c>
      <c r="B22" s="4" t="s">
        <v>98</v>
      </c>
      <c r="C22" s="4" t="s">
        <v>99</v>
      </c>
      <c r="D22" s="4" t="s">
        <v>100</v>
      </c>
      <c r="E22" s="4" t="s">
        <v>101</v>
      </c>
      <c r="F22" s="4"/>
      <c r="G22" s="4" t="s">
        <v>33</v>
      </c>
      <c r="H22" s="4" t="s">
        <v>14</v>
      </c>
    </row>
    <row r="23" ht="15.75" customHeight="1">
      <c r="A23" s="3" t="s">
        <v>102</v>
      </c>
      <c r="B23" s="4" t="s">
        <v>103</v>
      </c>
      <c r="C23" s="4" t="s">
        <v>44</v>
      </c>
      <c r="D23" s="4" t="s">
        <v>104</v>
      </c>
      <c r="E23" s="4" t="s">
        <v>105</v>
      </c>
      <c r="F23" s="4"/>
      <c r="G23" s="4" t="s">
        <v>33</v>
      </c>
      <c r="H23" s="4" t="s">
        <v>14</v>
      </c>
    </row>
    <row r="24" ht="15.75" customHeight="1">
      <c r="A24" s="3" t="s">
        <v>106</v>
      </c>
      <c r="B24" s="4" t="s">
        <v>107</v>
      </c>
      <c r="C24" s="4" t="s">
        <v>10</v>
      </c>
      <c r="D24" s="4" t="s">
        <v>108</v>
      </c>
      <c r="E24" s="4" t="s">
        <v>109</v>
      </c>
      <c r="F24" s="4"/>
      <c r="G24" s="4" t="s">
        <v>13</v>
      </c>
      <c r="H24" s="4" t="s">
        <v>14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B44" s="6" t="s">
        <v>110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4" width="18.88"/>
    <col customWidth="1" min="5" max="5" width="20.5"/>
    <col customWidth="1" min="6" max="6" width="36.88"/>
    <col customWidth="1" min="7" max="7" width="12.5"/>
    <col customWidth="1" min="8" max="8" width="16.13"/>
    <col customWidth="1" min="9" max="10" width="12.5"/>
    <col customWidth="1" min="11" max="11" width="16.75"/>
    <col customWidth="1" min="12" max="27" width="12.5"/>
  </cols>
  <sheetData>
    <row r="1" ht="15.75" customHeight="1"/>
    <row r="2" ht="15.75" customHeight="1">
      <c r="B2" s="6" t="s">
        <v>110</v>
      </c>
    </row>
    <row r="3" ht="15.75" customHeight="1"/>
    <row r="4" ht="31.5" customHeight="1">
      <c r="A4" s="5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111</v>
      </c>
      <c r="H4" s="7" t="s">
        <v>5</v>
      </c>
      <c r="I4" s="7" t="s">
        <v>6</v>
      </c>
      <c r="J4" s="7" t="s">
        <v>7</v>
      </c>
      <c r="K4" s="7" t="s">
        <v>112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8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113</v>
      </c>
      <c r="H5" s="9"/>
      <c r="I5" s="9" t="s">
        <v>13</v>
      </c>
      <c r="J5" s="9" t="s">
        <v>14</v>
      </c>
      <c r="K5" s="9">
        <v>4.0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114</v>
      </c>
      <c r="H6" s="9"/>
      <c r="I6" s="9" t="s">
        <v>13</v>
      </c>
      <c r="J6" s="9" t="s">
        <v>14</v>
      </c>
      <c r="K6" s="9">
        <v>3.0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8" t="s">
        <v>20</v>
      </c>
      <c r="C7" s="9" t="s">
        <v>21</v>
      </c>
      <c r="D7" s="9" t="s">
        <v>22</v>
      </c>
      <c r="E7" s="9" t="s">
        <v>23</v>
      </c>
      <c r="F7" s="9" t="s">
        <v>24</v>
      </c>
      <c r="G7" s="9" t="s">
        <v>115</v>
      </c>
      <c r="H7" s="9"/>
      <c r="I7" s="9" t="s">
        <v>13</v>
      </c>
      <c r="J7" s="9" t="s">
        <v>14</v>
      </c>
      <c r="K7" s="9">
        <v>2.0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8" t="s">
        <v>25</v>
      </c>
      <c r="C8" s="9" t="s">
        <v>26</v>
      </c>
      <c r="D8" s="9" t="s">
        <v>22</v>
      </c>
      <c r="E8" s="9" t="s">
        <v>27</v>
      </c>
      <c r="F8" s="9" t="s">
        <v>28</v>
      </c>
      <c r="G8" s="9" t="s">
        <v>116</v>
      </c>
      <c r="H8" s="9"/>
      <c r="I8" s="9" t="s">
        <v>13</v>
      </c>
      <c r="J8" s="9" t="s">
        <v>14</v>
      </c>
      <c r="K8" s="9">
        <v>3.0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B9" s="8" t="s">
        <v>29</v>
      </c>
      <c r="C9" s="9" t="s">
        <v>30</v>
      </c>
      <c r="D9" s="9" t="s">
        <v>22</v>
      </c>
      <c r="E9" s="9" t="s">
        <v>31</v>
      </c>
      <c r="F9" s="9" t="s">
        <v>32</v>
      </c>
      <c r="G9" s="9" t="s">
        <v>113</v>
      </c>
      <c r="H9" s="9"/>
      <c r="I9" s="9" t="s">
        <v>33</v>
      </c>
      <c r="J9" s="9" t="s">
        <v>14</v>
      </c>
      <c r="K9" s="9">
        <v>2.0</v>
      </c>
    </row>
    <row r="10" ht="39.0" customHeight="1">
      <c r="B10" s="8" t="s">
        <v>34</v>
      </c>
      <c r="C10" s="9" t="s">
        <v>35</v>
      </c>
      <c r="D10" s="9" t="s">
        <v>22</v>
      </c>
      <c r="E10" s="9" t="s">
        <v>36</v>
      </c>
      <c r="F10" s="9" t="s">
        <v>37</v>
      </c>
      <c r="G10" s="9" t="s">
        <v>114</v>
      </c>
      <c r="H10" s="9"/>
      <c r="I10" s="9" t="s">
        <v>13</v>
      </c>
      <c r="J10" s="9" t="s">
        <v>14</v>
      </c>
      <c r="K10" s="9">
        <v>5.0</v>
      </c>
    </row>
    <row r="12" ht="15.75" customHeight="1"/>
    <row r="13" ht="15.75" customHeight="1">
      <c r="B13" s="10"/>
    </row>
    <row r="14" ht="15.75" customHeight="1">
      <c r="B14" s="11" t="s">
        <v>117</v>
      </c>
    </row>
    <row r="15" ht="15.75" customHeight="1"/>
    <row r="16" ht="15.75" customHeight="1">
      <c r="B16" s="7" t="s">
        <v>0</v>
      </c>
      <c r="C16" s="7" t="s">
        <v>1</v>
      </c>
      <c r="D16" s="7" t="s">
        <v>2</v>
      </c>
      <c r="E16" s="7" t="s">
        <v>3</v>
      </c>
      <c r="F16" s="7" t="s">
        <v>4</v>
      </c>
      <c r="G16" s="7" t="s">
        <v>111</v>
      </c>
      <c r="H16" s="7" t="s">
        <v>5</v>
      </c>
      <c r="I16" s="7" t="s">
        <v>6</v>
      </c>
      <c r="J16" s="7" t="s">
        <v>7</v>
      </c>
      <c r="K16" s="7" t="s">
        <v>112</v>
      </c>
    </row>
    <row r="17" ht="42.0" customHeight="1">
      <c r="B17" s="12" t="s">
        <v>47</v>
      </c>
      <c r="C17" s="13" t="s">
        <v>118</v>
      </c>
      <c r="D17" s="9" t="s">
        <v>17</v>
      </c>
      <c r="E17" s="13" t="s">
        <v>50</v>
      </c>
      <c r="F17" s="13" t="s">
        <v>119</v>
      </c>
      <c r="G17" s="9" t="s">
        <v>113</v>
      </c>
      <c r="H17" s="9"/>
      <c r="I17" s="9" t="s">
        <v>13</v>
      </c>
      <c r="J17" s="9" t="s">
        <v>14</v>
      </c>
      <c r="K17" s="13">
        <v>6.0</v>
      </c>
    </row>
    <row r="18" ht="49.5" customHeight="1">
      <c r="B18" s="12" t="s">
        <v>38</v>
      </c>
      <c r="C18" s="13" t="s">
        <v>39</v>
      </c>
      <c r="D18" s="9" t="s">
        <v>10</v>
      </c>
      <c r="E18" s="13" t="s">
        <v>120</v>
      </c>
      <c r="F18" s="13" t="s">
        <v>121</v>
      </c>
      <c r="G18" s="13" t="s">
        <v>115</v>
      </c>
      <c r="H18" s="9"/>
      <c r="I18" s="9" t="s">
        <v>13</v>
      </c>
      <c r="J18" s="9" t="s">
        <v>14</v>
      </c>
      <c r="K18" s="13">
        <v>5.0</v>
      </c>
    </row>
    <row r="19" ht="48.75" customHeight="1">
      <c r="B19" s="12" t="s">
        <v>93</v>
      </c>
      <c r="C19" s="4" t="s">
        <v>94</v>
      </c>
      <c r="D19" s="9" t="s">
        <v>10</v>
      </c>
      <c r="E19" s="13" t="s">
        <v>122</v>
      </c>
      <c r="F19" s="13" t="s">
        <v>123</v>
      </c>
      <c r="G19" s="13" t="s">
        <v>116</v>
      </c>
      <c r="H19" s="9"/>
      <c r="I19" s="9" t="s">
        <v>13</v>
      </c>
      <c r="J19" s="9" t="s">
        <v>14</v>
      </c>
      <c r="K19" s="13">
        <v>4.0</v>
      </c>
    </row>
    <row r="20" ht="52.5" customHeight="1">
      <c r="B20" s="14" t="s">
        <v>85</v>
      </c>
      <c r="C20" s="15" t="s">
        <v>124</v>
      </c>
      <c r="D20" s="15" t="s">
        <v>82</v>
      </c>
      <c r="E20" s="15" t="s">
        <v>125</v>
      </c>
      <c r="F20" s="15" t="s">
        <v>126</v>
      </c>
      <c r="G20" s="16" t="s">
        <v>114</v>
      </c>
      <c r="H20" s="16"/>
      <c r="I20" s="15" t="s">
        <v>33</v>
      </c>
      <c r="J20" s="16" t="s">
        <v>14</v>
      </c>
      <c r="K20" s="15">
        <v>3.0</v>
      </c>
    </row>
    <row r="21" ht="36.0" customHeight="1">
      <c r="B21" s="17"/>
      <c r="C21" s="18"/>
      <c r="D21" s="18"/>
      <c r="E21" s="18"/>
      <c r="F21" s="18"/>
      <c r="G21" s="18"/>
      <c r="H21" s="18"/>
      <c r="I21" s="18"/>
      <c r="J21" s="18"/>
      <c r="K21" s="18"/>
    </row>
    <row r="22" ht="32.25" customHeight="1">
      <c r="B22" s="19"/>
      <c r="C22" s="20"/>
      <c r="D22" s="20"/>
      <c r="E22" s="20"/>
      <c r="F22" s="20"/>
      <c r="G22" s="20"/>
      <c r="H22" s="20"/>
      <c r="I22" s="20"/>
      <c r="J22" s="20"/>
      <c r="K22" s="20"/>
    </row>
    <row r="23" ht="15.75" customHeight="1"/>
    <row r="24" ht="15.75" customHeight="1">
      <c r="B24" s="11" t="s">
        <v>127</v>
      </c>
    </row>
    <row r="25" ht="15.75" customHeight="1"/>
    <row r="26" ht="45.75" customHeight="1">
      <c r="B26" s="7" t="s">
        <v>0</v>
      </c>
      <c r="C26" s="7" t="s">
        <v>1</v>
      </c>
      <c r="D26" s="7" t="s">
        <v>2</v>
      </c>
      <c r="E26" s="7" t="s">
        <v>3</v>
      </c>
      <c r="F26" s="7" t="s">
        <v>4</v>
      </c>
      <c r="G26" s="7" t="s">
        <v>111</v>
      </c>
      <c r="H26" s="7" t="s">
        <v>5</v>
      </c>
      <c r="I26" s="7" t="s">
        <v>6</v>
      </c>
      <c r="J26" s="7" t="s">
        <v>7</v>
      </c>
      <c r="K26" s="7" t="s">
        <v>112</v>
      </c>
    </row>
    <row r="27" ht="47.25" customHeight="1">
      <c r="B27" s="12" t="s">
        <v>42</v>
      </c>
      <c r="C27" s="13" t="s">
        <v>43</v>
      </c>
      <c r="D27" s="13" t="s">
        <v>82</v>
      </c>
      <c r="E27" s="13" t="s">
        <v>128</v>
      </c>
      <c r="F27" s="13" t="s">
        <v>129</v>
      </c>
      <c r="G27" s="13" t="s">
        <v>116</v>
      </c>
      <c r="H27" s="9"/>
      <c r="I27" s="9" t="s">
        <v>13</v>
      </c>
      <c r="J27" s="9" t="s">
        <v>14</v>
      </c>
      <c r="K27" s="13">
        <v>4.0</v>
      </c>
    </row>
    <row r="28" ht="53.25" customHeight="1">
      <c r="B28" s="12" t="s">
        <v>76</v>
      </c>
      <c r="C28" s="13" t="s">
        <v>130</v>
      </c>
      <c r="D28" s="13" t="s">
        <v>17</v>
      </c>
      <c r="E28" s="13" t="s">
        <v>131</v>
      </c>
      <c r="F28" s="13" t="s">
        <v>132</v>
      </c>
      <c r="G28" s="9" t="s">
        <v>113</v>
      </c>
      <c r="H28" s="9"/>
      <c r="I28" s="9" t="s">
        <v>13</v>
      </c>
      <c r="J28" s="9" t="s">
        <v>14</v>
      </c>
      <c r="K28" s="13">
        <v>3.0</v>
      </c>
    </row>
    <row r="29" ht="53.25" customHeight="1">
      <c r="B29" s="12" t="s">
        <v>89</v>
      </c>
      <c r="C29" s="21" t="s">
        <v>133</v>
      </c>
      <c r="D29" s="13" t="s">
        <v>82</v>
      </c>
      <c r="E29" s="13" t="s">
        <v>134</v>
      </c>
      <c r="F29" s="13" t="s">
        <v>135</v>
      </c>
      <c r="G29" s="13" t="s">
        <v>115</v>
      </c>
      <c r="H29" s="9"/>
      <c r="I29" s="13" t="s">
        <v>33</v>
      </c>
      <c r="J29" s="9" t="s">
        <v>14</v>
      </c>
      <c r="K29" s="13">
        <v>3.0</v>
      </c>
    </row>
    <row r="30" ht="54.75" customHeight="1">
      <c r="B30" s="12" t="s">
        <v>80</v>
      </c>
      <c r="C30" s="13" t="s">
        <v>136</v>
      </c>
      <c r="D30" s="13" t="s">
        <v>82</v>
      </c>
      <c r="E30" s="13" t="s">
        <v>137</v>
      </c>
      <c r="F30" s="13" t="s">
        <v>138</v>
      </c>
      <c r="G30" s="9" t="s">
        <v>114</v>
      </c>
      <c r="H30" s="9"/>
      <c r="I30" s="9" t="s">
        <v>13</v>
      </c>
      <c r="J30" s="9" t="s">
        <v>14</v>
      </c>
      <c r="K30" s="13">
        <v>2.0</v>
      </c>
    </row>
    <row r="31" ht="15.75" customHeight="1"/>
    <row r="32" ht="15.75" customHeight="1"/>
    <row r="33" ht="15.75" customHeight="1"/>
    <row r="34" ht="15.75" customHeight="1"/>
    <row r="35" ht="15.75" customHeight="1">
      <c r="B35" s="11" t="s">
        <v>139</v>
      </c>
    </row>
    <row r="36" ht="15.75" customHeight="1"/>
    <row r="37" ht="15.75" customHeight="1">
      <c r="B37" s="7" t="s">
        <v>0</v>
      </c>
      <c r="C37" s="7" t="s">
        <v>1</v>
      </c>
      <c r="D37" s="7" t="s">
        <v>2</v>
      </c>
      <c r="E37" s="7" t="s">
        <v>3</v>
      </c>
      <c r="F37" s="7" t="s">
        <v>4</v>
      </c>
      <c r="G37" s="7" t="s">
        <v>111</v>
      </c>
      <c r="H37" s="7" t="s">
        <v>5</v>
      </c>
      <c r="I37" s="7" t="s">
        <v>6</v>
      </c>
      <c r="J37" s="7" t="s">
        <v>7</v>
      </c>
      <c r="K37" s="7" t="s">
        <v>112</v>
      </c>
    </row>
    <row r="38" ht="38.25" customHeight="1">
      <c r="B38" s="12" t="s">
        <v>97</v>
      </c>
      <c r="C38" s="13" t="s">
        <v>98</v>
      </c>
      <c r="D38" s="13" t="s">
        <v>10</v>
      </c>
      <c r="E38" s="13" t="s">
        <v>140</v>
      </c>
      <c r="F38" s="13" t="s">
        <v>141</v>
      </c>
      <c r="G38" s="13" t="s">
        <v>113</v>
      </c>
      <c r="H38" s="9"/>
      <c r="I38" s="13" t="s">
        <v>33</v>
      </c>
      <c r="J38" s="9" t="s">
        <v>14</v>
      </c>
      <c r="K38" s="13">
        <v>3.0</v>
      </c>
    </row>
    <row r="39" ht="40.5" customHeight="1">
      <c r="B39" s="12" t="s">
        <v>102</v>
      </c>
      <c r="C39" s="13" t="s">
        <v>39</v>
      </c>
      <c r="D39" s="9" t="s">
        <v>10</v>
      </c>
      <c r="E39" s="13" t="s">
        <v>142</v>
      </c>
      <c r="F39" s="13" t="s">
        <v>143</v>
      </c>
      <c r="G39" s="13" t="s">
        <v>116</v>
      </c>
      <c r="H39" s="9"/>
      <c r="I39" s="13" t="s">
        <v>33</v>
      </c>
      <c r="J39" s="9" t="s">
        <v>14</v>
      </c>
      <c r="K39" s="13">
        <v>3.0</v>
      </c>
    </row>
    <row r="40" ht="52.5" customHeight="1">
      <c r="B40" s="12" t="s">
        <v>106</v>
      </c>
      <c r="C40" s="21" t="s">
        <v>107</v>
      </c>
      <c r="D40" s="9" t="s">
        <v>10</v>
      </c>
      <c r="E40" s="13" t="s">
        <v>144</v>
      </c>
      <c r="F40" s="13" t="s">
        <v>145</v>
      </c>
      <c r="G40" s="13" t="s">
        <v>115</v>
      </c>
      <c r="H40" s="9"/>
      <c r="I40" s="9" t="s">
        <v>13</v>
      </c>
      <c r="J40" s="9" t="s">
        <v>14</v>
      </c>
      <c r="K40" s="13">
        <v>3.0</v>
      </c>
    </row>
    <row r="41" ht="58.5" customHeight="1">
      <c r="B41" s="12" t="s">
        <v>146</v>
      </c>
      <c r="C41" s="13" t="s">
        <v>53</v>
      </c>
      <c r="D41" s="13" t="s">
        <v>17</v>
      </c>
      <c r="E41" s="13" t="s">
        <v>54</v>
      </c>
      <c r="F41" s="13" t="s">
        <v>147</v>
      </c>
      <c r="G41" s="9" t="s">
        <v>114</v>
      </c>
      <c r="H41" s="9"/>
      <c r="I41" s="9" t="s">
        <v>13</v>
      </c>
      <c r="J41" s="9" t="s">
        <v>14</v>
      </c>
      <c r="K41" s="13">
        <v>2.0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26" width="12.5"/>
  </cols>
  <sheetData>
    <row r="1" ht="15.75" customHeight="1"/>
    <row r="2" ht="15.75" customHeight="1"/>
    <row r="3" ht="15.75" customHeight="1">
      <c r="B3" s="22"/>
      <c r="C3" s="23" t="s">
        <v>148</v>
      </c>
      <c r="D3" s="23" t="s">
        <v>149</v>
      </c>
      <c r="E3" s="23" t="s">
        <v>150</v>
      </c>
      <c r="F3" s="23" t="s">
        <v>151</v>
      </c>
      <c r="G3" s="23" t="s">
        <v>152</v>
      </c>
      <c r="H3" s="23" t="s">
        <v>153</v>
      </c>
      <c r="I3" s="23" t="s">
        <v>154</v>
      </c>
    </row>
    <row r="4" ht="15.75" customHeight="1">
      <c r="B4" s="8" t="s">
        <v>8</v>
      </c>
      <c r="C4" s="9">
        <v>4.0</v>
      </c>
      <c r="D4" s="24">
        <v>0.0</v>
      </c>
      <c r="E4" s="24">
        <v>0.0</v>
      </c>
      <c r="F4" s="24">
        <v>1.0</v>
      </c>
      <c r="G4" s="24">
        <v>0.0</v>
      </c>
      <c r="H4" s="24">
        <v>4.0</v>
      </c>
      <c r="I4" s="25">
        <v>4.0</v>
      </c>
    </row>
    <row r="5" ht="15.75" customHeight="1">
      <c r="B5" s="8" t="s">
        <v>15</v>
      </c>
      <c r="C5" s="9">
        <v>3.0</v>
      </c>
      <c r="D5" s="24">
        <v>0.0</v>
      </c>
      <c r="E5" s="24">
        <v>0.0</v>
      </c>
      <c r="F5" s="24">
        <v>0.0</v>
      </c>
      <c r="G5" s="24">
        <v>2.0</v>
      </c>
      <c r="H5" s="24">
        <v>1.0</v>
      </c>
      <c r="I5" s="25">
        <v>3.0</v>
      </c>
    </row>
    <row r="6" ht="15.75" customHeight="1">
      <c r="B6" s="8" t="s">
        <v>20</v>
      </c>
      <c r="C6" s="9">
        <v>2.0</v>
      </c>
      <c r="D6" s="24">
        <v>0.0</v>
      </c>
      <c r="E6" s="26">
        <v>0.0</v>
      </c>
      <c r="F6" s="26">
        <v>1.0</v>
      </c>
      <c r="G6" s="26">
        <v>1.0</v>
      </c>
      <c r="H6" s="26">
        <v>0.0</v>
      </c>
      <c r="I6" s="27">
        <v>2.0</v>
      </c>
    </row>
    <row r="7" ht="15.75" customHeight="1">
      <c r="B7" s="8" t="s">
        <v>25</v>
      </c>
      <c r="C7" s="9">
        <v>3.0</v>
      </c>
      <c r="D7" s="24">
        <v>0.0</v>
      </c>
      <c r="E7" s="26">
        <v>0.0</v>
      </c>
      <c r="F7" s="26">
        <v>2.0</v>
      </c>
      <c r="G7" s="26">
        <v>2.0</v>
      </c>
      <c r="H7" s="26">
        <v>0.0</v>
      </c>
      <c r="I7" s="27">
        <v>4.0</v>
      </c>
    </row>
    <row r="8" ht="15.75" customHeight="1">
      <c r="B8" s="8" t="s">
        <v>29</v>
      </c>
      <c r="C8" s="9">
        <v>2.0</v>
      </c>
      <c r="D8" s="24">
        <v>0.0</v>
      </c>
      <c r="E8" s="26">
        <v>1.0</v>
      </c>
      <c r="F8" s="26">
        <v>0.0</v>
      </c>
      <c r="G8" s="26">
        <v>0.0</v>
      </c>
      <c r="H8" s="26">
        <v>0.0</v>
      </c>
      <c r="I8" s="26">
        <v>1.0</v>
      </c>
    </row>
    <row r="9" ht="15.75" customHeight="1">
      <c r="B9" s="8" t="s">
        <v>34</v>
      </c>
      <c r="C9" s="9">
        <v>5.0</v>
      </c>
      <c r="D9" s="24">
        <v>2.0</v>
      </c>
      <c r="E9" s="26">
        <v>3.0</v>
      </c>
      <c r="F9" s="26">
        <v>0.0</v>
      </c>
      <c r="G9" s="26">
        <v>0.0</v>
      </c>
      <c r="H9" s="26">
        <v>0.0</v>
      </c>
      <c r="I9" s="26">
        <v>5.0</v>
      </c>
    </row>
    <row r="10" ht="15.75" customHeight="1">
      <c r="B10" s="28" t="s">
        <v>155</v>
      </c>
      <c r="C10" s="29">
        <f>SUM(C4:C9)</f>
        <v>19</v>
      </c>
      <c r="D10" s="29">
        <f t="shared" ref="D10:H10" si="1">C10-SUM(D4:D9)</f>
        <v>17</v>
      </c>
      <c r="E10" s="29">
        <f t="shared" si="1"/>
        <v>13</v>
      </c>
      <c r="F10" s="29">
        <f t="shared" si="1"/>
        <v>9</v>
      </c>
      <c r="G10" s="29">
        <f t="shared" si="1"/>
        <v>4</v>
      </c>
      <c r="H10" s="29">
        <f t="shared" si="1"/>
        <v>-1</v>
      </c>
      <c r="I10" s="10"/>
    </row>
    <row r="11" ht="15.75" customHeight="1">
      <c r="B11" s="30" t="s">
        <v>156</v>
      </c>
      <c r="C11" s="23">
        <f>SUM(C4:C9)</f>
        <v>19</v>
      </c>
      <c r="D11" s="23">
        <f>C11-(SUM(C4:C9)/5)</f>
        <v>15.2</v>
      </c>
      <c r="E11" s="23">
        <f>D11-(SUM(C4:C9)/5)</f>
        <v>11.4</v>
      </c>
      <c r="F11" s="23">
        <f>E11-(SUM(C4:C9)/5)</f>
        <v>7.6</v>
      </c>
      <c r="G11" s="23">
        <f>F11-(SUM(C4:C9)/5)</f>
        <v>3.8</v>
      </c>
      <c r="H11" s="23">
        <f>G11-(SUM(C4:C9)/5)</f>
        <v>0</v>
      </c>
    </row>
    <row r="12" ht="15.75" customHeight="1"/>
    <row r="13" ht="15.75" customHeight="1"/>
    <row r="14" ht="15.75" customHeight="1"/>
    <row r="15" ht="15.75" customHeight="1">
      <c r="B15" s="31" t="s">
        <v>157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Q23" s="32" t="str">
        <f>-B15</f>
        <v>#VALUE!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15:G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22" width="12.5"/>
  </cols>
  <sheetData>
    <row r="1" ht="15.75" customHeight="1"/>
    <row r="2" ht="15.75" customHeight="1"/>
    <row r="3" ht="15.75" customHeight="1">
      <c r="B3" s="33" t="s">
        <v>158</v>
      </c>
      <c r="C3" s="34" t="s">
        <v>148</v>
      </c>
      <c r="D3" s="35" t="s">
        <v>159</v>
      </c>
      <c r="E3" s="35" t="s">
        <v>160</v>
      </c>
      <c r="F3" s="35" t="s">
        <v>161</v>
      </c>
      <c r="G3" s="35" t="s">
        <v>162</v>
      </c>
      <c r="H3" s="35" t="s">
        <v>163</v>
      </c>
      <c r="I3" s="35" t="s">
        <v>164</v>
      </c>
      <c r="J3" s="35" t="s">
        <v>165</v>
      </c>
      <c r="K3" s="35" t="s">
        <v>166</v>
      </c>
      <c r="L3" s="35" t="s">
        <v>167</v>
      </c>
      <c r="M3" s="35" t="s">
        <v>168</v>
      </c>
      <c r="N3" s="35" t="s">
        <v>149</v>
      </c>
      <c r="O3" s="35" t="s">
        <v>150</v>
      </c>
      <c r="P3" s="36" t="s">
        <v>151</v>
      </c>
      <c r="Q3" s="36" t="s">
        <v>152</v>
      </c>
      <c r="R3" s="36" t="s">
        <v>153</v>
      </c>
      <c r="S3" s="37" t="s">
        <v>154</v>
      </c>
    </row>
    <row r="4" ht="15.75" customHeight="1">
      <c r="B4" s="38" t="s">
        <v>8</v>
      </c>
      <c r="C4" s="39">
        <v>4.0</v>
      </c>
      <c r="D4" s="40">
        <v>0.0</v>
      </c>
      <c r="E4" s="40">
        <v>0.0</v>
      </c>
      <c r="F4" s="40">
        <v>0.0</v>
      </c>
      <c r="G4" s="40">
        <v>0.0</v>
      </c>
      <c r="H4" s="40">
        <v>0.0</v>
      </c>
      <c r="I4" s="40">
        <v>0.0</v>
      </c>
      <c r="J4" s="40">
        <v>0.0</v>
      </c>
      <c r="K4" s="40">
        <v>0.0</v>
      </c>
      <c r="L4" s="40">
        <v>0.0</v>
      </c>
      <c r="M4" s="40">
        <v>0.0</v>
      </c>
      <c r="N4" s="40">
        <v>0.0</v>
      </c>
      <c r="O4" s="40">
        <v>0.0</v>
      </c>
      <c r="P4" s="41">
        <v>1.0</v>
      </c>
      <c r="Q4" s="42">
        <v>1.0</v>
      </c>
      <c r="R4" s="42">
        <v>2.0</v>
      </c>
      <c r="S4" s="43">
        <f t="shared" ref="S4:S21" si="1">SUM(D4:R4)</f>
        <v>4</v>
      </c>
    </row>
    <row r="5" ht="15.75" customHeight="1">
      <c r="B5" s="38" t="s">
        <v>15</v>
      </c>
      <c r="C5" s="44">
        <v>3.0</v>
      </c>
      <c r="D5" s="45">
        <v>0.0</v>
      </c>
      <c r="E5" s="45">
        <v>0.0</v>
      </c>
      <c r="F5" s="45">
        <v>0.0</v>
      </c>
      <c r="G5" s="45">
        <v>0.0</v>
      </c>
      <c r="H5" s="45">
        <v>0.0</v>
      </c>
      <c r="I5" s="45">
        <v>0.0</v>
      </c>
      <c r="J5" s="45">
        <v>0.0</v>
      </c>
      <c r="K5" s="45">
        <v>0.0</v>
      </c>
      <c r="L5" s="45">
        <v>0.0</v>
      </c>
      <c r="M5" s="45">
        <v>0.0</v>
      </c>
      <c r="N5" s="45">
        <v>0.0</v>
      </c>
      <c r="O5" s="46">
        <v>1.0</v>
      </c>
      <c r="P5" s="46">
        <v>1.0</v>
      </c>
      <c r="Q5" s="47">
        <v>1.0</v>
      </c>
      <c r="R5" s="47">
        <v>0.0</v>
      </c>
      <c r="S5" s="43">
        <f t="shared" si="1"/>
        <v>3</v>
      </c>
    </row>
    <row r="6" ht="15.75" customHeight="1">
      <c r="B6" s="38" t="s">
        <v>20</v>
      </c>
      <c r="C6" s="44">
        <v>2.0</v>
      </c>
      <c r="D6" s="45">
        <v>0.0</v>
      </c>
      <c r="E6" s="45">
        <v>0.0</v>
      </c>
      <c r="F6" s="45">
        <v>0.0</v>
      </c>
      <c r="G6" s="45">
        <v>0.0</v>
      </c>
      <c r="H6" s="45">
        <v>0.0</v>
      </c>
      <c r="I6" s="45">
        <v>0.0</v>
      </c>
      <c r="J6" s="45">
        <v>0.0</v>
      </c>
      <c r="K6" s="45">
        <v>0.0</v>
      </c>
      <c r="L6" s="45">
        <v>0.0</v>
      </c>
      <c r="M6" s="45">
        <v>0.0</v>
      </c>
      <c r="N6" s="46">
        <v>0.0</v>
      </c>
      <c r="O6" s="46">
        <v>1.0</v>
      </c>
      <c r="P6" s="47">
        <v>1.0</v>
      </c>
      <c r="Q6" s="47">
        <v>0.0</v>
      </c>
      <c r="R6" s="47">
        <v>0.0</v>
      </c>
      <c r="S6" s="43">
        <f t="shared" si="1"/>
        <v>2</v>
      </c>
    </row>
    <row r="7" ht="15.75" customHeight="1">
      <c r="B7" s="38" t="s">
        <v>25</v>
      </c>
      <c r="C7" s="44">
        <v>3.0</v>
      </c>
      <c r="D7" s="45">
        <v>0.0</v>
      </c>
      <c r="E7" s="45">
        <v>0.0</v>
      </c>
      <c r="F7" s="45">
        <v>0.0</v>
      </c>
      <c r="G7" s="45">
        <v>0.0</v>
      </c>
      <c r="H7" s="45">
        <v>0.0</v>
      </c>
      <c r="I7" s="45">
        <v>0.0</v>
      </c>
      <c r="J7" s="45">
        <v>0.0</v>
      </c>
      <c r="K7" s="45">
        <v>0.0</v>
      </c>
      <c r="L7" s="45">
        <v>0.0</v>
      </c>
      <c r="M7" s="46">
        <v>1.0</v>
      </c>
      <c r="N7" s="46">
        <v>1.0</v>
      </c>
      <c r="O7" s="45">
        <v>1.0</v>
      </c>
      <c r="P7" s="47">
        <v>0.0</v>
      </c>
      <c r="Q7" s="47">
        <v>0.0</v>
      </c>
      <c r="R7" s="47">
        <v>0.0</v>
      </c>
      <c r="S7" s="43">
        <f t="shared" si="1"/>
        <v>3</v>
      </c>
    </row>
    <row r="8" ht="15.75" customHeight="1">
      <c r="B8" s="38" t="s">
        <v>29</v>
      </c>
      <c r="C8" s="48">
        <v>2.0</v>
      </c>
      <c r="D8" s="45">
        <v>0.0</v>
      </c>
      <c r="E8" s="45">
        <v>0.0</v>
      </c>
      <c r="F8" s="45">
        <v>0.0</v>
      </c>
      <c r="G8" s="45">
        <v>0.0</v>
      </c>
      <c r="H8" s="45">
        <v>0.0</v>
      </c>
      <c r="I8" s="45">
        <v>0.0</v>
      </c>
      <c r="J8" s="45">
        <v>0.0</v>
      </c>
      <c r="K8" s="45">
        <v>0.0</v>
      </c>
      <c r="L8" s="46">
        <v>1.0</v>
      </c>
      <c r="M8" s="46">
        <v>1.0</v>
      </c>
      <c r="N8" s="45">
        <v>0.0</v>
      </c>
      <c r="O8" s="46">
        <v>0.0</v>
      </c>
      <c r="P8" s="46">
        <v>0.0</v>
      </c>
      <c r="Q8" s="47">
        <v>0.0</v>
      </c>
      <c r="R8" s="47">
        <v>0.0</v>
      </c>
      <c r="S8" s="43">
        <f t="shared" si="1"/>
        <v>2</v>
      </c>
    </row>
    <row r="9" ht="15.75" customHeight="1">
      <c r="B9" s="38" t="s">
        <v>34</v>
      </c>
      <c r="C9" s="44">
        <v>5.0</v>
      </c>
      <c r="D9" s="46">
        <v>1.0</v>
      </c>
      <c r="E9" s="46">
        <v>1.0</v>
      </c>
      <c r="F9" s="46">
        <v>1.0</v>
      </c>
      <c r="G9" s="46">
        <v>1.0</v>
      </c>
      <c r="H9" s="46">
        <v>1.0</v>
      </c>
      <c r="I9" s="45">
        <v>0.0</v>
      </c>
      <c r="J9" s="45">
        <v>0.0</v>
      </c>
      <c r="K9" s="45">
        <v>0.0</v>
      </c>
      <c r="L9" s="45">
        <v>0.0</v>
      </c>
      <c r="M9" s="45">
        <v>0.0</v>
      </c>
      <c r="N9" s="45">
        <v>0.0</v>
      </c>
      <c r="O9" s="47">
        <v>0.0</v>
      </c>
      <c r="P9" s="47">
        <v>0.0</v>
      </c>
      <c r="Q9" s="46">
        <v>0.0</v>
      </c>
      <c r="R9" s="47">
        <v>0.0</v>
      </c>
      <c r="S9" s="43">
        <f t="shared" si="1"/>
        <v>5</v>
      </c>
    </row>
    <row r="10" ht="15.75" customHeight="1">
      <c r="B10" s="49" t="s">
        <v>47</v>
      </c>
      <c r="C10" s="50">
        <v>2.0</v>
      </c>
      <c r="D10" s="51">
        <v>0.0</v>
      </c>
      <c r="E10" s="51">
        <v>0.0</v>
      </c>
      <c r="F10" s="51">
        <v>0.0</v>
      </c>
      <c r="G10" s="51">
        <v>0.0</v>
      </c>
      <c r="H10" s="51">
        <v>0.0</v>
      </c>
      <c r="I10" s="51">
        <v>0.0</v>
      </c>
      <c r="J10" s="51">
        <v>0.0</v>
      </c>
      <c r="K10" s="51">
        <v>0.0</v>
      </c>
      <c r="L10" s="51">
        <v>1.0</v>
      </c>
      <c r="M10" s="51">
        <v>1.0</v>
      </c>
      <c r="N10" s="52">
        <v>0.0</v>
      </c>
      <c r="O10" s="52">
        <v>0.0</v>
      </c>
      <c r="P10" s="52">
        <v>0.0</v>
      </c>
      <c r="Q10" s="52">
        <v>0.0</v>
      </c>
      <c r="R10" s="52">
        <v>0.0</v>
      </c>
      <c r="S10" s="43">
        <f t="shared" si="1"/>
        <v>2</v>
      </c>
    </row>
    <row r="11" ht="15.75" customHeight="1">
      <c r="B11" s="53" t="s">
        <v>38</v>
      </c>
      <c r="C11" s="54">
        <v>2.0</v>
      </c>
      <c r="D11" s="55">
        <v>0.0</v>
      </c>
      <c r="E11" s="55">
        <v>0.0</v>
      </c>
      <c r="F11" s="55">
        <v>0.0</v>
      </c>
      <c r="G11" s="55">
        <v>0.0</v>
      </c>
      <c r="H11" s="55">
        <v>0.0</v>
      </c>
      <c r="I11" s="55">
        <v>0.0</v>
      </c>
      <c r="J11" s="55">
        <v>0.0</v>
      </c>
      <c r="K11" s="55">
        <v>1.0</v>
      </c>
      <c r="L11" s="55">
        <v>1.0</v>
      </c>
      <c r="M11" s="55">
        <v>0.0</v>
      </c>
      <c r="N11" s="56">
        <v>0.0</v>
      </c>
      <c r="O11" s="56">
        <v>0.0</v>
      </c>
      <c r="P11" s="56">
        <v>0.0</v>
      </c>
      <c r="Q11" s="56">
        <v>0.0</v>
      </c>
      <c r="R11" s="56">
        <v>0.0</v>
      </c>
      <c r="S11" s="43">
        <f t="shared" si="1"/>
        <v>2</v>
      </c>
    </row>
    <row r="12" ht="15.75" customHeight="1">
      <c r="B12" s="53" t="s">
        <v>93</v>
      </c>
      <c r="C12" s="54">
        <v>2.0</v>
      </c>
      <c r="D12" s="55">
        <v>0.0</v>
      </c>
      <c r="E12" s="55">
        <v>0.0</v>
      </c>
      <c r="F12" s="55">
        <v>0.0</v>
      </c>
      <c r="G12" s="55">
        <v>0.0</v>
      </c>
      <c r="H12" s="55">
        <v>0.0</v>
      </c>
      <c r="I12" s="55">
        <v>0.0</v>
      </c>
      <c r="J12" s="55">
        <v>1.0</v>
      </c>
      <c r="K12" s="55">
        <v>1.0</v>
      </c>
      <c r="L12" s="55">
        <v>0.0</v>
      </c>
      <c r="M12" s="55">
        <v>0.0</v>
      </c>
      <c r="N12" s="56">
        <v>0.0</v>
      </c>
      <c r="O12" s="56">
        <v>0.0</v>
      </c>
      <c r="P12" s="56">
        <v>0.0</v>
      </c>
      <c r="Q12" s="56">
        <v>0.0</v>
      </c>
      <c r="R12" s="56">
        <v>0.0</v>
      </c>
      <c r="S12" s="43">
        <f t="shared" si="1"/>
        <v>2</v>
      </c>
    </row>
    <row r="13" ht="15.75" customHeight="1">
      <c r="B13" s="53" t="s">
        <v>85</v>
      </c>
      <c r="C13" s="54">
        <v>1.0</v>
      </c>
      <c r="D13" s="55">
        <v>0.0</v>
      </c>
      <c r="E13" s="55">
        <v>0.0</v>
      </c>
      <c r="F13" s="55">
        <v>0.0</v>
      </c>
      <c r="G13" s="55">
        <v>0.0</v>
      </c>
      <c r="H13" s="55">
        <v>0.0</v>
      </c>
      <c r="I13" s="55">
        <v>0.0</v>
      </c>
      <c r="J13" s="55">
        <v>0.0</v>
      </c>
      <c r="K13" s="55">
        <v>1.0</v>
      </c>
      <c r="L13" s="55">
        <v>0.0</v>
      </c>
      <c r="M13" s="55">
        <v>0.0</v>
      </c>
      <c r="N13" s="56">
        <v>0.0</v>
      </c>
      <c r="O13" s="56">
        <v>0.0</v>
      </c>
      <c r="P13" s="56">
        <v>0.0</v>
      </c>
      <c r="Q13" s="56">
        <v>0.0</v>
      </c>
      <c r="R13" s="56">
        <v>0.0</v>
      </c>
      <c r="S13" s="43">
        <f t="shared" si="1"/>
        <v>1</v>
      </c>
    </row>
    <row r="14" ht="15.75" customHeight="1">
      <c r="B14" s="57" t="s">
        <v>42</v>
      </c>
      <c r="C14" s="58">
        <v>4.0</v>
      </c>
      <c r="D14" s="59">
        <v>0.0</v>
      </c>
      <c r="E14" s="60">
        <v>0.0</v>
      </c>
      <c r="F14" s="59">
        <v>0.0</v>
      </c>
      <c r="G14" s="60">
        <v>1.0</v>
      </c>
      <c r="H14" s="59">
        <v>0.0</v>
      </c>
      <c r="I14" s="60">
        <v>1.0</v>
      </c>
      <c r="J14" s="59">
        <v>0.0</v>
      </c>
      <c r="K14" s="60">
        <v>1.0</v>
      </c>
      <c r="L14" s="59">
        <v>0.0</v>
      </c>
      <c r="M14" s="60">
        <v>1.0</v>
      </c>
      <c r="N14" s="59">
        <v>0.0</v>
      </c>
      <c r="O14" s="59">
        <v>0.0</v>
      </c>
      <c r="P14" s="59">
        <v>0.0</v>
      </c>
      <c r="Q14" s="59">
        <v>0.0</v>
      </c>
      <c r="R14" s="61">
        <v>0.0</v>
      </c>
      <c r="S14" s="43">
        <f t="shared" si="1"/>
        <v>4</v>
      </c>
    </row>
    <row r="15" ht="15.75" customHeight="1">
      <c r="B15" s="57" t="s">
        <v>76</v>
      </c>
      <c r="C15" s="58">
        <v>3.0</v>
      </c>
      <c r="D15" s="60">
        <v>0.0</v>
      </c>
      <c r="E15" s="60">
        <v>1.0</v>
      </c>
      <c r="F15" s="59">
        <v>0.0</v>
      </c>
      <c r="G15" s="59">
        <v>0.0</v>
      </c>
      <c r="H15" s="59">
        <v>1.0</v>
      </c>
      <c r="I15" s="59">
        <v>0.0</v>
      </c>
      <c r="J15" s="60">
        <v>1.0</v>
      </c>
      <c r="K15" s="59">
        <v>0.0</v>
      </c>
      <c r="L15" s="59">
        <v>0.0</v>
      </c>
      <c r="M15" s="59">
        <v>0.0</v>
      </c>
      <c r="N15" s="59">
        <v>0.0</v>
      </c>
      <c r="O15" s="59">
        <v>0.0</v>
      </c>
      <c r="P15" s="59">
        <v>0.0</v>
      </c>
      <c r="Q15" s="59">
        <v>0.0</v>
      </c>
      <c r="R15" s="61">
        <v>0.0</v>
      </c>
      <c r="S15" s="43">
        <f t="shared" si="1"/>
        <v>3</v>
      </c>
    </row>
    <row r="16" ht="15.75" customHeight="1">
      <c r="B16" s="57" t="s">
        <v>89</v>
      </c>
      <c r="C16" s="58">
        <v>3.0</v>
      </c>
      <c r="D16" s="60">
        <v>1.0</v>
      </c>
      <c r="E16" s="60">
        <v>0.0</v>
      </c>
      <c r="F16" s="60">
        <v>1.0</v>
      </c>
      <c r="G16" s="60">
        <v>0.0</v>
      </c>
      <c r="H16" s="59">
        <v>0.0</v>
      </c>
      <c r="I16" s="59">
        <v>0.0</v>
      </c>
      <c r="J16" s="59">
        <v>0.0</v>
      </c>
      <c r="K16" s="59">
        <v>0.0</v>
      </c>
      <c r="L16" s="60">
        <v>1.0</v>
      </c>
      <c r="M16" s="59">
        <v>0.0</v>
      </c>
      <c r="N16" s="59">
        <v>0.0</v>
      </c>
      <c r="O16" s="59">
        <v>0.0</v>
      </c>
      <c r="P16" s="59">
        <v>0.0</v>
      </c>
      <c r="Q16" s="59">
        <v>0.0</v>
      </c>
      <c r="R16" s="61">
        <v>0.0</v>
      </c>
      <c r="S16" s="43">
        <f t="shared" si="1"/>
        <v>3</v>
      </c>
    </row>
    <row r="17" ht="15.75" customHeight="1">
      <c r="B17" s="57" t="s">
        <v>80</v>
      </c>
      <c r="C17" s="58">
        <v>2.0</v>
      </c>
      <c r="D17" s="59">
        <v>0.0</v>
      </c>
      <c r="E17" s="59">
        <v>0.0</v>
      </c>
      <c r="F17" s="59">
        <v>0.0</v>
      </c>
      <c r="G17" s="59">
        <v>0.0</v>
      </c>
      <c r="H17" s="60">
        <v>0.0</v>
      </c>
      <c r="I17" s="59">
        <v>0.0</v>
      </c>
      <c r="J17" s="59">
        <v>0.0</v>
      </c>
      <c r="K17" s="59">
        <v>0.0</v>
      </c>
      <c r="L17" s="59">
        <v>0.0</v>
      </c>
      <c r="M17" s="59">
        <v>0.0</v>
      </c>
      <c r="N17" s="60">
        <v>1.0</v>
      </c>
      <c r="O17" s="60">
        <v>1.0</v>
      </c>
      <c r="P17" s="59">
        <v>0.0</v>
      </c>
      <c r="Q17" s="59">
        <v>0.0</v>
      </c>
      <c r="R17" s="61">
        <v>0.0</v>
      </c>
      <c r="S17" s="43">
        <f t="shared" si="1"/>
        <v>2</v>
      </c>
    </row>
    <row r="18" ht="15.75" customHeight="1">
      <c r="B18" s="62" t="s">
        <v>97</v>
      </c>
      <c r="C18" s="44">
        <v>3.0</v>
      </c>
      <c r="D18" s="63">
        <v>0.0</v>
      </c>
      <c r="E18" s="63">
        <v>0.0</v>
      </c>
      <c r="F18" s="64">
        <v>0.0</v>
      </c>
      <c r="G18" s="64">
        <v>0.0</v>
      </c>
      <c r="H18" s="64">
        <v>0.0</v>
      </c>
      <c r="I18" s="63">
        <v>1.0</v>
      </c>
      <c r="J18" s="64">
        <v>0.0</v>
      </c>
      <c r="K18" s="63">
        <v>1.0</v>
      </c>
      <c r="L18" s="64">
        <v>0.0</v>
      </c>
      <c r="M18" s="63">
        <v>1.0</v>
      </c>
      <c r="N18" s="64">
        <v>0.0</v>
      </c>
      <c r="O18" s="64">
        <v>0.0</v>
      </c>
      <c r="P18" s="64">
        <v>0.0</v>
      </c>
      <c r="Q18" s="64">
        <v>0.0</v>
      </c>
      <c r="R18" s="65">
        <v>0.0</v>
      </c>
      <c r="S18" s="43">
        <f t="shared" si="1"/>
        <v>3</v>
      </c>
    </row>
    <row r="19" ht="15.75" customHeight="1">
      <c r="B19" s="66" t="s">
        <v>102</v>
      </c>
      <c r="C19" s="67">
        <v>3.0</v>
      </c>
      <c r="D19" s="68">
        <v>0.0</v>
      </c>
      <c r="E19" s="68">
        <v>0.0</v>
      </c>
      <c r="F19" s="68">
        <v>0.0</v>
      </c>
      <c r="G19" s="68">
        <v>0.0</v>
      </c>
      <c r="H19" s="69">
        <v>1.0</v>
      </c>
      <c r="I19" s="64">
        <v>0.0</v>
      </c>
      <c r="J19" s="63">
        <v>1.0</v>
      </c>
      <c r="K19" s="64">
        <v>0.0</v>
      </c>
      <c r="L19" s="63">
        <v>1.0</v>
      </c>
      <c r="M19" s="64">
        <v>0.0</v>
      </c>
      <c r="N19" s="68">
        <v>0.0</v>
      </c>
      <c r="O19" s="68">
        <v>0.0</v>
      </c>
      <c r="P19" s="70">
        <v>0.0</v>
      </c>
      <c r="Q19" s="70">
        <v>0.0</v>
      </c>
      <c r="R19" s="65">
        <v>0.0</v>
      </c>
      <c r="S19" s="43">
        <f t="shared" si="1"/>
        <v>3</v>
      </c>
    </row>
    <row r="20" ht="15.75" customHeight="1">
      <c r="B20" s="71" t="s">
        <v>106</v>
      </c>
      <c r="C20" s="44">
        <v>3.0</v>
      </c>
      <c r="D20" s="70">
        <v>0.0</v>
      </c>
      <c r="E20" s="70">
        <v>0.0</v>
      </c>
      <c r="F20" s="72">
        <v>1.0</v>
      </c>
      <c r="G20" s="72">
        <v>1.0</v>
      </c>
      <c r="H20" s="70">
        <v>0.0</v>
      </c>
      <c r="I20" s="64">
        <v>0.0</v>
      </c>
      <c r="J20" s="64">
        <v>0.0</v>
      </c>
      <c r="K20" s="64">
        <v>0.0</v>
      </c>
      <c r="L20" s="64">
        <v>0.0</v>
      </c>
      <c r="M20" s="64">
        <v>0.0</v>
      </c>
      <c r="N20" s="72">
        <v>1.0</v>
      </c>
      <c r="O20" s="70">
        <v>0.0</v>
      </c>
      <c r="P20" s="70">
        <v>0.0</v>
      </c>
      <c r="Q20" s="70">
        <v>0.0</v>
      </c>
      <c r="R20" s="65">
        <v>0.0</v>
      </c>
      <c r="S20" s="43">
        <f t="shared" si="1"/>
        <v>3</v>
      </c>
    </row>
    <row r="21" ht="15.75" customHeight="1">
      <c r="B21" s="71" t="s">
        <v>52</v>
      </c>
      <c r="C21" s="44">
        <v>2.0</v>
      </c>
      <c r="D21" s="72">
        <v>1.0</v>
      </c>
      <c r="E21" s="72">
        <v>1.0</v>
      </c>
      <c r="F21" s="70">
        <v>0.0</v>
      </c>
      <c r="G21" s="70">
        <v>0.0</v>
      </c>
      <c r="H21" s="70">
        <v>0.0</v>
      </c>
      <c r="I21" s="64">
        <v>0.0</v>
      </c>
      <c r="J21" s="64">
        <v>0.0</v>
      </c>
      <c r="K21" s="64">
        <v>0.0</v>
      </c>
      <c r="L21" s="64">
        <v>0.0</v>
      </c>
      <c r="M21" s="64">
        <v>0.0</v>
      </c>
      <c r="N21" s="70">
        <v>0.0</v>
      </c>
      <c r="O21" s="70">
        <v>0.0</v>
      </c>
      <c r="P21" s="70">
        <v>0.0</v>
      </c>
      <c r="Q21" s="70">
        <v>0.0</v>
      </c>
      <c r="R21" s="65">
        <v>0.0</v>
      </c>
      <c r="S21" s="43">
        <f t="shared" si="1"/>
        <v>2</v>
      </c>
    </row>
    <row r="22" ht="15.75" customHeight="1">
      <c r="B22" s="73" t="s">
        <v>155</v>
      </c>
      <c r="C22" s="74">
        <f>SUM(C4:C21)</f>
        <v>49</v>
      </c>
      <c r="D22" s="74">
        <f t="shared" ref="D22:R22" si="2">C22-SUM(D4:D21)</f>
        <v>46</v>
      </c>
      <c r="E22" s="74">
        <f t="shared" si="2"/>
        <v>43</v>
      </c>
      <c r="F22" s="74">
        <f t="shared" si="2"/>
        <v>40</v>
      </c>
      <c r="G22" s="74">
        <f t="shared" si="2"/>
        <v>37</v>
      </c>
      <c r="H22" s="74">
        <f t="shared" si="2"/>
        <v>34</v>
      </c>
      <c r="I22" s="74">
        <f t="shared" si="2"/>
        <v>32</v>
      </c>
      <c r="J22" s="74">
        <f t="shared" si="2"/>
        <v>29</v>
      </c>
      <c r="K22" s="74">
        <f t="shared" si="2"/>
        <v>24</v>
      </c>
      <c r="L22" s="74">
        <f t="shared" si="2"/>
        <v>19</v>
      </c>
      <c r="M22" s="74">
        <f t="shared" si="2"/>
        <v>14</v>
      </c>
      <c r="N22" s="74">
        <f t="shared" si="2"/>
        <v>11</v>
      </c>
      <c r="O22" s="74">
        <f t="shared" si="2"/>
        <v>7</v>
      </c>
      <c r="P22" s="74">
        <f t="shared" si="2"/>
        <v>4</v>
      </c>
      <c r="Q22" s="74">
        <f t="shared" si="2"/>
        <v>2</v>
      </c>
      <c r="R22" s="74">
        <f t="shared" si="2"/>
        <v>0</v>
      </c>
      <c r="S22" s="75"/>
    </row>
    <row r="23" ht="15.75" customHeight="1">
      <c r="B23" s="76" t="s">
        <v>156</v>
      </c>
      <c r="C23" s="77">
        <f>SUM(C4:C21)</f>
        <v>49</v>
      </c>
      <c r="D23" s="77">
        <f t="shared" ref="D23:R23" si="3">C23-(SUM($C$4:$C$21)/20)</f>
        <v>46.55</v>
      </c>
      <c r="E23" s="77">
        <f t="shared" si="3"/>
        <v>44.1</v>
      </c>
      <c r="F23" s="77">
        <f t="shared" si="3"/>
        <v>41.65</v>
      </c>
      <c r="G23" s="77">
        <f t="shared" si="3"/>
        <v>39.2</v>
      </c>
      <c r="H23" s="77">
        <f t="shared" si="3"/>
        <v>36.75</v>
      </c>
      <c r="I23" s="77">
        <f t="shared" si="3"/>
        <v>34.3</v>
      </c>
      <c r="J23" s="77">
        <f t="shared" si="3"/>
        <v>31.85</v>
      </c>
      <c r="K23" s="77">
        <f t="shared" si="3"/>
        <v>29.4</v>
      </c>
      <c r="L23" s="77">
        <f t="shared" si="3"/>
        <v>26.95</v>
      </c>
      <c r="M23" s="77">
        <f t="shared" si="3"/>
        <v>24.5</v>
      </c>
      <c r="N23" s="77">
        <f t="shared" si="3"/>
        <v>22.05</v>
      </c>
      <c r="O23" s="77">
        <f t="shared" si="3"/>
        <v>19.6</v>
      </c>
      <c r="P23" s="77">
        <f t="shared" si="3"/>
        <v>17.15</v>
      </c>
      <c r="Q23" s="77">
        <f t="shared" si="3"/>
        <v>14.7</v>
      </c>
      <c r="R23" s="77">
        <f t="shared" si="3"/>
        <v>12.25</v>
      </c>
      <c r="S23" s="7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D48" s="3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">
    <mergeCell ref="D48:E5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USUARIO</dc:creator>
</cp:coreProperties>
</file>