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-PR\Desktop\27835_G3_ADS\Biblioteca de Trabajo\1. ELICITACION\1.6 Backlog\"/>
    </mc:Choice>
  </mc:AlternateContent>
  <xr:revisionPtr revIDLastSave="0" documentId="8_{6AE7D678-353D-418B-A97D-C3E45C7DF6E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cklog" sheetId="1" r:id="rId1"/>
    <sheet name="Sprint 1" sheetId="2" r:id="rId2"/>
    <sheet name="burdonchart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C25" i="3" l="1"/>
  <c r="D25" i="3" s="1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3" i="3"/>
  <c r="V24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C26" i="3" l="1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</calcChain>
</file>

<file path=xl/sharedStrings.xml><?xml version="1.0" encoding="utf-8"?>
<sst xmlns="http://schemas.openxmlformats.org/spreadsheetml/2006/main" count="277" uniqueCount="165">
  <si>
    <t>Tema</t>
  </si>
  <si>
    <t>Como un..</t>
  </si>
  <si>
    <t>Alta</t>
  </si>
  <si>
    <t>Media</t>
  </si>
  <si>
    <t>ID</t>
  </si>
  <si>
    <t>Necesito</t>
  </si>
  <si>
    <t>Prioridad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</si>
  <si>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</si>
  <si>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</si>
  <si>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</si>
  <si>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</si>
  <si>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</si>
  <si>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</si>
  <si>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</si>
  <si>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</si>
  <si>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</si>
  <si>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Estado</t>
  </si>
  <si>
    <t>RF1.1</t>
  </si>
  <si>
    <t>Fernando Sandoval</t>
  </si>
  <si>
    <t>RF1.3</t>
  </si>
  <si>
    <t>Simone Medina</t>
  </si>
  <si>
    <t>RF1.5</t>
  </si>
  <si>
    <t>RF1.6</t>
  </si>
  <si>
    <t>Zaith Manangón</t>
  </si>
  <si>
    <t>Registro de Cuenta de Cliente</t>
  </si>
  <si>
    <t>Cliente</t>
  </si>
  <si>
    <t>Crear mi cuenta en el sistema con nombre, correo y contraseña</t>
  </si>
  <si>
    <t>Acceder al sistema y gestionar mis comprobantes de pago</t>
  </si>
  <si>
    <t>En proceso</t>
  </si>
  <si>
    <t>RF1.2</t>
  </si>
  <si>
    <t>Gestión de Cuentas de Asistente</t>
  </si>
  <si>
    <t>Gerente</t>
  </si>
  <si>
    <t>Registrar nuevos asistentes administrativos desde mi panel</t>
  </si>
  <si>
    <t>Gestionar el personal que ayudará en operaciones administrativas</t>
  </si>
  <si>
    <t>Inicio de Sesión Multirole</t>
  </si>
  <si>
    <t>Cliente, Asistente, Gerente</t>
  </si>
  <si>
    <t>Acceder al sistema según mi rol con mis credenciales</t>
  </si>
  <si>
    <t>Tener acceso seguro y diferenciado según mi tipo de usuario</t>
  </si>
  <si>
    <t>RF1.4</t>
  </si>
  <si>
    <t>Recuperación de Contraseña</t>
  </si>
  <si>
    <t>Recuperar mi acceso mediante verificación por correo</t>
  </si>
  <si>
    <t>Restablecer mi contraseña de forma segura cuando la olvide</t>
  </si>
  <si>
    <t>Cierre Seguro de Sesión</t>
  </si>
  <si>
    <t>Cerrar mi sesión de forma segura</t>
  </si>
  <si>
    <t>Prevenir accesos no autorizados después de mi uso</t>
  </si>
  <si>
    <t>Dashboard Personalizado</t>
  </si>
  <si>
    <t>Visualizar un dashboard personalizado según mi rol</t>
  </si>
  <si>
    <t>Acceder rápidamente a funcionalidades principales y datos relevantes</t>
  </si>
  <si>
    <t>Así podré...</t>
  </si>
  <si>
    <t>Notas</t>
  </si>
  <si>
    <t>RF2</t>
  </si>
  <si>
    <t>Carga y Registro de Comprobantes</t>
  </si>
  <si>
    <t>Ingresar datos del comprobante y adjuntar archivo</t>
  </si>
  <si>
    <t>Mantener registro digital de pagos realizados</t>
  </si>
  <si>
    <t>RF3</t>
  </si>
  <si>
    <t>Abono a Crédito Activo</t>
  </si>
  <si>
    <t>Cliente, Gerente</t>
  </si>
  <si>
    <t>Registrar pago y recalcular estado del crédito</t>
  </si>
  <si>
    <t>Mantener actualizado mi estado financiero</t>
  </si>
  <si>
    <t>RF4</t>
  </si>
  <si>
    <t>Importación Masiva de Facturación</t>
  </si>
  <si>
    <t>Gerente, Asistente</t>
  </si>
  <si>
    <t>Cargar archivos CSV/XLSX con datos de facturación</t>
  </si>
  <si>
    <t>Sincronizar información de sistemas externos</t>
  </si>
  <si>
    <t>RF5.1</t>
  </si>
  <si>
    <t>Otorgamiento de Crédito a Cliente</t>
  </si>
  <si>
    <t>Asignar crédito y cambiar estado del cliente</t>
  </si>
  <si>
    <t>Habilitar compras a crédito según política de la empresa</t>
  </si>
  <si>
    <t>RF5.2</t>
  </si>
  <si>
    <t>Pago de Cuotas en Línea</t>
  </si>
  <si>
    <t>Procesar pago de cuota mediante pasarela de pago</t>
  </si>
  <si>
    <t>Facilitar el cumplimiento de mis obligaciones desde cualquier lugar</t>
  </si>
  <si>
    <t>RF5.3</t>
  </si>
  <si>
    <t>Visualización de Condiciones del Crédito</t>
  </si>
  <si>
    <t>Visualizar términos, interés, cuotas y cronograma</t>
  </si>
  <si>
    <t>Mantenerme informado sobre mi obligación financiera</t>
  </si>
  <si>
    <t>RF5.4</t>
  </si>
  <si>
    <t>Seguimiento de Saldo y Cuotas</t>
  </si>
  <si>
    <t>Ver cuotas pagadas, pendientes y monto restante</t>
  </si>
  <si>
    <t>Hacer seguimiento de mi cumplimiento financiero</t>
  </si>
  <si>
    <t>RF5.5</t>
  </si>
  <si>
    <t>Descarga de Certificados de Pago</t>
  </si>
  <si>
    <t>Generar documento PDF con información de mis pagos</t>
  </si>
  <si>
    <t>Contar con respaldo formal de transacciones realizadas</t>
  </si>
  <si>
    <t>RF6.1</t>
  </si>
  <si>
    <t>Reporte Individual de Pagos</t>
  </si>
  <si>
    <t>Filtrar y visualizar pagos de un cliente particular</t>
  </si>
  <si>
    <t>Analizar comportamiento de pago individual</t>
  </si>
  <si>
    <t>RF6.2</t>
  </si>
  <si>
    <t>Reporte de Pagos por Fechas</t>
  </si>
  <si>
    <t>Consultar todos los pagos en un período específico</t>
  </si>
  <si>
    <t>Analizar flujo de caja y tendencias temporales</t>
  </si>
  <si>
    <t>RF6.3</t>
  </si>
  <si>
    <t>Reporte de Riesgo de Morosidad</t>
  </si>
  <si>
    <t>Asistente</t>
  </si>
  <si>
    <t>Listar clientes con pagos vencidos o en mora</t>
  </si>
  <si>
    <t>Realizar seguimiento y gestión de cobro</t>
  </si>
  <si>
    <t>RF6.4</t>
  </si>
  <si>
    <t>Búsqueda Rápida de Clientes</t>
  </si>
  <si>
    <t>Buscar y visualizar datos personales y de contacto del cliente</t>
  </si>
  <si>
    <t>Brindar atención y soporte al cliente</t>
  </si>
  <si>
    <t>RF6.5</t>
  </si>
  <si>
    <t>Consulta de Historial de Pagos</t>
  </si>
  <si>
    <t>Visualizar todos los pagos registrados de un cliente</t>
  </si>
  <si>
    <t>Brindar soporte y resolver consultas</t>
  </si>
  <si>
    <t>RF7</t>
  </si>
  <si>
    <t>Vista Global de Estado de Cuenta</t>
  </si>
  <si>
    <t>Visualizar créditos, pagos, cuotas e intereses</t>
  </si>
  <si>
    <t>Tener visión integral de mi situación financiera</t>
  </si>
  <si>
    <t>RF8.1</t>
  </si>
  <si>
    <t>Alerta de Vencimiento Crítico</t>
  </si>
  <si>
    <t>Cliente (receptor), Asistente (gestor)</t>
  </si>
  <si>
    <t>Recibir alerta cuando se aproxima fecha de vencimiento crítica</t>
  </si>
  <si>
    <t>Prevenir incumplimientos y mantenerme informado</t>
  </si>
  <si>
    <t>RF8.2</t>
  </si>
  <si>
    <t>Aviso Preventivo de Vencimiento</t>
  </si>
  <si>
    <t>Recibir alerta con anticipación sobre fechas de pago cercanas</t>
  </si>
  <si>
    <t>Recordar mis obligaciones y facilitar cumplimiento</t>
  </si>
  <si>
    <t>RF8.3</t>
  </si>
  <si>
    <t>Notificación de Deuda Vencida</t>
  </si>
  <si>
    <t>Recibir alerta sobre obligaciones no cumplidas en fecha</t>
  </si>
  <si>
    <t>Conocer estado de mi deuda y regularizar</t>
  </si>
  <si>
    <t>SPRINT 1</t>
  </si>
  <si>
    <t>Encargado</t>
  </si>
  <si>
    <t>Oswaldo Tipan</t>
  </si>
  <si>
    <t>Tiempo (Estimado en Hrs)</t>
  </si>
  <si>
    <t>Durante el proceso de desarrollo del Sprint 1, se completaron satisfactoriamente las 19 horas estimadas distribuidas a lo largo de 5 días de trabajo para implementar el módulo fundamental de Gestión de Autenticación y Acceso al Sistema.
El equipo logró entregar los 6 requisitos funcionales planificados (RF1.1 - RF1.6), cumpliendo con los objetivos establecidos</t>
  </si>
  <si>
    <t>REQUERIMIENTO</t>
  </si>
  <si>
    <t>Dia 20</t>
  </si>
  <si>
    <t>Dia 19</t>
  </si>
  <si>
    <t>Dia 18</t>
  </si>
  <si>
    <t>Dia 16</t>
  </si>
  <si>
    <t>Dia 15</t>
  </si>
  <si>
    <t>Dia 14</t>
  </si>
  <si>
    <t>Dia 13</t>
  </si>
  <si>
    <t>Dia 12</t>
  </si>
  <si>
    <t>Dia 11</t>
  </si>
  <si>
    <t>Dia 10</t>
  </si>
  <si>
    <t>Dia 9</t>
  </si>
  <si>
    <t>Dia 8</t>
  </si>
  <si>
    <t>Dia 7</t>
  </si>
  <si>
    <t>Dia 6</t>
  </si>
  <si>
    <t>REQ001-1</t>
  </si>
  <si>
    <t>REQ001-2</t>
  </si>
  <si>
    <t>REQ001-3</t>
  </si>
  <si>
    <t>REQ001-4</t>
  </si>
  <si>
    <t>REQ005-1</t>
  </si>
  <si>
    <t>REQ005-2</t>
  </si>
  <si>
    <t>REQ006-1</t>
  </si>
  <si>
    <t>REQ006-2</t>
  </si>
  <si>
    <t>REQ006-3</t>
  </si>
  <si>
    <t>REQ006-4</t>
  </si>
  <si>
    <t>REQ006-5</t>
  </si>
  <si>
    <t>REQ007-1</t>
  </si>
  <si>
    <t>REQ008-1</t>
  </si>
  <si>
    <t>REQ008-2</t>
  </si>
  <si>
    <t>REQ008-3</t>
  </si>
  <si>
    <t>REQ001-5</t>
  </si>
  <si>
    <t>REQ001-6</t>
  </si>
  <si>
    <t>REQ002</t>
  </si>
  <si>
    <t>REQ003</t>
  </si>
  <si>
    <t>REQ004</t>
  </si>
  <si>
    <t>REQ005-3</t>
  </si>
  <si>
    <t>REQ005-4</t>
  </si>
  <si>
    <t>REQ005-5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</si>
</sst>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FF"/>
      <name val="Arial"/>
      <family val="2"/>
    </font>
    <font>
      <b/>
      <sz val="18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2F5496"/>
      <name val="Arial"/>
      <family val="2"/>
    </font>
    <font>
      <b/>
      <sz val="10"/>
      <color theme="1"/>
      <name val="Arial"/>
      <family val="2"/>
    </font>
    <font>
      <sz val="10"/>
      <color theme="4"/>
      <name val="Arial"/>
      <family val="2"/>
    </font>
    <font>
      <sz val="10"/>
      <name val="Arial"/>
      <family val="2"/>
    </font>
    <font>
      <sz val="8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6AA84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/>
    <xf numFmtId="0" fontId="5" fillId="0" borderId="0" xfId="0" applyFont="1" applyAlignment="1"/>
    <xf numFmtId="0" fontId="7" fillId="0" borderId="1" xfId="0" applyFont="1" applyBorder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3" xfId="0" applyFont="1" applyBorder="1"/>
    <xf numFmtId="0" fontId="0" fillId="0" borderId="0" xfId="0" applyFont="1" applyAlignment="1"/>
    <xf numFmtId="0" fontId="4" fillId="0" borderId="2" xfId="0" applyFont="1" applyBorder="1"/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7" xfId="0" applyFont="1" applyBorder="1"/>
    <xf numFmtId="0" fontId="4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2" fillId="0" borderId="10" xfId="0" applyFont="1" applyBorder="1"/>
    <xf numFmtId="0" fontId="4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2" fillId="0" borderId="12" xfId="0" applyFont="1" applyBorder="1"/>
    <xf numFmtId="0" fontId="13" fillId="3" borderId="13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2" borderId="10" xfId="0" applyFont="1" applyFill="1" applyBorder="1"/>
    <xf numFmtId="0" fontId="0" fillId="0" borderId="11" xfId="0" applyBorder="1"/>
    <xf numFmtId="0" fontId="4" fillId="2" borderId="12" xfId="0" applyFont="1" applyFill="1" applyBorder="1"/>
    <xf numFmtId="0" fontId="4" fillId="0" borderId="13" xfId="0" applyFont="1" applyBorder="1"/>
    <xf numFmtId="0" fontId="0" fillId="0" borderId="14" xfId="0" applyBorder="1"/>
    <xf numFmtId="0" fontId="0" fillId="3" borderId="15" xfId="0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2" xfId="0" applyBorder="1"/>
    <xf numFmtId="0" fontId="11" fillId="5" borderId="6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0" fillId="7" borderId="8" xfId="0" applyFill="1" applyBorder="1"/>
    <xf numFmtId="0" fontId="0" fillId="7" borderId="3" xfId="0" applyFill="1" applyBorder="1"/>
    <xf numFmtId="0" fontId="0" fillId="7" borderId="15" xfId="0" applyFill="1" applyBorder="1"/>
    <xf numFmtId="0" fontId="0" fillId="7" borderId="13" xfId="0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788782152230971"/>
          <c:y val="0.15103338497782121"/>
          <c:w val="0.8211217847769029"/>
          <c:h val="0.71085510537597896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791696</xdr:colOff>
      <xdr:row>18</xdr:row>
      <xdr:rowOff>124048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-PR\Downloads\BL_V1.0.3.xlsx" TargetMode="External"/><Relationship Id="rId1" Type="http://schemas.openxmlformats.org/officeDocument/2006/relationships/externalLinkPath" Target="/Users/PC-PR/Downloads/BL_V1.0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log"/>
      <sheetName val="sprint0"/>
      <sheetName val="burdonchart"/>
    </sheetNames>
    <sheetDataSet>
      <sheetData sheetId="0"/>
      <sheetData sheetId="1"/>
      <sheetData sheetId="2">
        <row r="23">
          <cell r="L23">
            <v>0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3A0FE8-E951-458E-B805-47C079127145}" name="Table_1" displayName="Table_1" ref="V2:V24" headerRowCount="0" headerRowDxfId="2" dataDxfId="0" totalsRowDxfId="1">
  <tableColumns count="1">
    <tableColumn id="1" xr3:uid="{D066D624-BEE0-43E3-A23B-4E99E17E8394}" name="Column1" dataDxfId="3">
      <calculatedColumnFormula>SUM(Q2:U2)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zoomScale="70" zoomScaleNormal="70" workbookViewId="0">
      <selection activeCell="C35" sqref="C34:C35"/>
    </sheetView>
  </sheetViews>
  <sheetFormatPr baseColWidth="10" defaultColWidth="12.6640625" defaultRowHeight="15" customHeight="1" x14ac:dyDescent="0.25"/>
  <cols>
    <col min="1" max="1" width="12.44140625" customWidth="1"/>
    <col min="2" max="2" width="30.21875" customWidth="1"/>
    <col min="3" max="3" width="36" customWidth="1"/>
    <col min="4" max="4" width="41.44140625" customWidth="1"/>
    <col min="5" max="5" width="54.44140625" customWidth="1"/>
    <col min="6" max="6" width="32.33203125" customWidth="1"/>
    <col min="7" max="26" width="12.44140625" customWidth="1"/>
  </cols>
  <sheetData>
    <row r="1" spans="1:26" ht="15.75" customHeight="1" x14ac:dyDescent="0.25">
      <c r="A1" s="8" t="s">
        <v>4</v>
      </c>
      <c r="B1" s="8" t="s">
        <v>0</v>
      </c>
      <c r="C1" s="8" t="s">
        <v>1</v>
      </c>
      <c r="D1" s="8" t="s">
        <v>5</v>
      </c>
      <c r="E1" s="8" t="s">
        <v>48</v>
      </c>
      <c r="F1" s="8" t="s">
        <v>49</v>
      </c>
      <c r="G1" s="8" t="s">
        <v>6</v>
      </c>
      <c r="H1" s="8" t="s">
        <v>16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4" x14ac:dyDescent="0.25">
      <c r="A2" s="2" t="s">
        <v>17</v>
      </c>
      <c r="B2" s="6" t="s">
        <v>24</v>
      </c>
      <c r="C2" s="6" t="s">
        <v>25</v>
      </c>
      <c r="D2" s="6" t="s">
        <v>26</v>
      </c>
      <c r="E2" s="6" t="s">
        <v>27</v>
      </c>
      <c r="F2" s="6"/>
      <c r="G2" s="6" t="s">
        <v>2</v>
      </c>
      <c r="H2" s="6" t="s">
        <v>28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6.4" x14ac:dyDescent="0.25">
      <c r="A3" s="2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/>
      <c r="G3" s="3" t="s">
        <v>2</v>
      </c>
      <c r="H3" s="3" t="s">
        <v>28</v>
      </c>
    </row>
    <row r="4" spans="1:26" ht="26.4" x14ac:dyDescent="0.25">
      <c r="A4" s="2" t="s">
        <v>19</v>
      </c>
      <c r="B4" s="3" t="s">
        <v>34</v>
      </c>
      <c r="C4" s="3" t="s">
        <v>35</v>
      </c>
      <c r="D4" s="3" t="s">
        <v>36</v>
      </c>
      <c r="E4" s="3" t="s">
        <v>37</v>
      </c>
      <c r="F4" s="3"/>
      <c r="G4" s="3" t="s">
        <v>2</v>
      </c>
      <c r="H4" s="3" t="s">
        <v>28</v>
      </c>
    </row>
    <row r="5" spans="1:26" ht="26.4" x14ac:dyDescent="0.25">
      <c r="A5" s="2" t="s">
        <v>38</v>
      </c>
      <c r="B5" s="3" t="s">
        <v>39</v>
      </c>
      <c r="C5" s="3" t="s">
        <v>35</v>
      </c>
      <c r="D5" s="3" t="s">
        <v>40</v>
      </c>
      <c r="E5" s="3" t="s">
        <v>41</v>
      </c>
      <c r="F5" s="3"/>
      <c r="G5" s="3" t="s">
        <v>2</v>
      </c>
      <c r="H5" s="3" t="s">
        <v>28</v>
      </c>
    </row>
    <row r="6" spans="1:26" ht="13.2" x14ac:dyDescent="0.25">
      <c r="A6" s="2" t="s">
        <v>21</v>
      </c>
      <c r="B6" s="3" t="s">
        <v>42</v>
      </c>
      <c r="C6" s="3" t="s">
        <v>35</v>
      </c>
      <c r="D6" s="3" t="s">
        <v>43</v>
      </c>
      <c r="E6" s="3" t="s">
        <v>44</v>
      </c>
      <c r="F6" s="3"/>
      <c r="G6" s="3" t="s">
        <v>3</v>
      </c>
      <c r="H6" s="3" t="s">
        <v>28</v>
      </c>
    </row>
    <row r="7" spans="1:26" ht="26.4" x14ac:dyDescent="0.25">
      <c r="A7" s="2" t="s">
        <v>22</v>
      </c>
      <c r="B7" s="6" t="s">
        <v>45</v>
      </c>
      <c r="C7" s="6" t="s">
        <v>35</v>
      </c>
      <c r="D7" s="6" t="s">
        <v>46</v>
      </c>
      <c r="E7" s="6" t="s">
        <v>47</v>
      </c>
      <c r="F7" s="6"/>
      <c r="G7" s="6" t="s">
        <v>2</v>
      </c>
      <c r="H7" s="6" t="s">
        <v>28</v>
      </c>
    </row>
    <row r="8" spans="1:26" ht="15.75" customHeight="1" x14ac:dyDescent="0.25">
      <c r="A8" s="2" t="s">
        <v>50</v>
      </c>
      <c r="B8" s="6" t="s">
        <v>51</v>
      </c>
      <c r="C8" s="6" t="s">
        <v>35</v>
      </c>
      <c r="D8" s="6" t="s">
        <v>52</v>
      </c>
      <c r="E8" s="6" t="s">
        <v>53</v>
      </c>
      <c r="F8" s="6"/>
      <c r="G8" s="6" t="s">
        <v>2</v>
      </c>
      <c r="H8" s="6" t="s">
        <v>28</v>
      </c>
    </row>
    <row r="9" spans="1:26" ht="15.75" customHeight="1" x14ac:dyDescent="0.25">
      <c r="A9" s="2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/>
      <c r="G9" s="3" t="s">
        <v>2</v>
      </c>
      <c r="H9" s="3" t="s">
        <v>28</v>
      </c>
    </row>
    <row r="10" spans="1:26" ht="15.75" customHeight="1" x14ac:dyDescent="0.25">
      <c r="A10" s="2" t="s">
        <v>59</v>
      </c>
      <c r="B10" s="3" t="s">
        <v>60</v>
      </c>
      <c r="C10" s="3" t="s">
        <v>61</v>
      </c>
      <c r="D10" s="3" t="s">
        <v>62</v>
      </c>
      <c r="E10" s="3" t="s">
        <v>63</v>
      </c>
      <c r="F10" s="3"/>
      <c r="G10" s="3" t="s">
        <v>3</v>
      </c>
      <c r="H10" s="3" t="s">
        <v>28</v>
      </c>
    </row>
    <row r="11" spans="1:26" ht="15.75" customHeight="1" x14ac:dyDescent="0.25">
      <c r="A11" s="2" t="s">
        <v>64</v>
      </c>
      <c r="B11" s="3" t="s">
        <v>65</v>
      </c>
      <c r="C11" s="3" t="s">
        <v>31</v>
      </c>
      <c r="D11" s="3" t="s">
        <v>66</v>
      </c>
      <c r="E11" s="3" t="s">
        <v>67</v>
      </c>
      <c r="F11" s="3"/>
      <c r="G11" s="3" t="s">
        <v>2</v>
      </c>
      <c r="H11" s="3" t="s">
        <v>28</v>
      </c>
    </row>
    <row r="12" spans="1:26" ht="15.75" customHeight="1" x14ac:dyDescent="0.25">
      <c r="A12" s="2" t="s">
        <v>68</v>
      </c>
      <c r="B12" s="3" t="s">
        <v>69</v>
      </c>
      <c r="C12" s="3" t="s">
        <v>25</v>
      </c>
      <c r="D12" s="3" t="s">
        <v>70</v>
      </c>
      <c r="E12" s="3" t="s">
        <v>71</v>
      </c>
      <c r="F12" s="3"/>
      <c r="G12" s="3" t="s">
        <v>2</v>
      </c>
      <c r="H12" s="3" t="s">
        <v>28</v>
      </c>
    </row>
    <row r="13" spans="1:26" ht="15.75" customHeight="1" x14ac:dyDescent="0.25">
      <c r="A13" s="2" t="s">
        <v>72</v>
      </c>
      <c r="B13" s="6" t="s">
        <v>73</v>
      </c>
      <c r="C13" s="6" t="s">
        <v>25</v>
      </c>
      <c r="D13" s="6" t="s">
        <v>74</v>
      </c>
      <c r="E13" s="6" t="s">
        <v>75</v>
      </c>
      <c r="F13" s="6"/>
      <c r="G13" s="6" t="s">
        <v>3</v>
      </c>
      <c r="H13" s="6" t="s">
        <v>28</v>
      </c>
    </row>
    <row r="14" spans="1:26" ht="15.75" customHeight="1" x14ac:dyDescent="0.25">
      <c r="A14" s="2" t="s">
        <v>76</v>
      </c>
      <c r="B14" s="6" t="s">
        <v>77</v>
      </c>
      <c r="C14" s="6" t="s">
        <v>25</v>
      </c>
      <c r="D14" s="6" t="s">
        <v>78</v>
      </c>
      <c r="E14" s="6" t="s">
        <v>79</v>
      </c>
      <c r="F14" s="6"/>
      <c r="G14" s="6" t="s">
        <v>2</v>
      </c>
      <c r="H14" s="6" t="s">
        <v>28</v>
      </c>
    </row>
    <row r="15" spans="1:26" ht="15.75" customHeight="1" x14ac:dyDescent="0.25">
      <c r="A15" s="2" t="s">
        <v>80</v>
      </c>
      <c r="B15" s="3" t="s">
        <v>81</v>
      </c>
      <c r="C15" s="3" t="s">
        <v>25</v>
      </c>
      <c r="D15" s="3" t="s">
        <v>82</v>
      </c>
      <c r="E15" s="3" t="s">
        <v>83</v>
      </c>
      <c r="F15" s="3"/>
      <c r="G15" s="3" t="s">
        <v>3</v>
      </c>
      <c r="H15" s="3" t="s">
        <v>28</v>
      </c>
    </row>
    <row r="16" spans="1:26" ht="15.75" customHeight="1" x14ac:dyDescent="0.25">
      <c r="A16" s="2" t="s">
        <v>84</v>
      </c>
      <c r="B16" s="3" t="s">
        <v>85</v>
      </c>
      <c r="C16" s="3" t="s">
        <v>31</v>
      </c>
      <c r="D16" s="3" t="s">
        <v>86</v>
      </c>
      <c r="E16" s="3" t="s">
        <v>87</v>
      </c>
      <c r="F16" s="3"/>
      <c r="G16" s="3" t="s">
        <v>2</v>
      </c>
      <c r="H16" s="3" t="s">
        <v>28</v>
      </c>
    </row>
    <row r="17" spans="1:8" ht="15.75" customHeight="1" x14ac:dyDescent="0.25">
      <c r="A17" s="2" t="s">
        <v>88</v>
      </c>
      <c r="B17" s="3" t="s">
        <v>89</v>
      </c>
      <c r="C17" s="3" t="s">
        <v>31</v>
      </c>
      <c r="D17" s="3" t="s">
        <v>90</v>
      </c>
      <c r="E17" s="3" t="s">
        <v>91</v>
      </c>
      <c r="F17" s="3"/>
      <c r="G17" s="3" t="s">
        <v>2</v>
      </c>
      <c r="H17" s="3" t="s">
        <v>28</v>
      </c>
    </row>
    <row r="18" spans="1:8" ht="15.75" customHeight="1" x14ac:dyDescent="0.25">
      <c r="A18" s="2" t="s">
        <v>92</v>
      </c>
      <c r="B18" s="3" t="s">
        <v>93</v>
      </c>
      <c r="C18" s="3" t="s">
        <v>94</v>
      </c>
      <c r="D18" s="3" t="s">
        <v>95</v>
      </c>
      <c r="E18" s="3" t="s">
        <v>96</v>
      </c>
      <c r="F18" s="3"/>
      <c r="G18" s="3" t="s">
        <v>2</v>
      </c>
      <c r="H18" s="3" t="s">
        <v>28</v>
      </c>
    </row>
    <row r="19" spans="1:8" ht="15.75" customHeight="1" x14ac:dyDescent="0.25">
      <c r="A19" s="2" t="s">
        <v>97</v>
      </c>
      <c r="B19" s="6" t="s">
        <v>98</v>
      </c>
      <c r="C19" s="6" t="s">
        <v>94</v>
      </c>
      <c r="D19" s="6" t="s">
        <v>99</v>
      </c>
      <c r="E19" s="6" t="s">
        <v>100</v>
      </c>
      <c r="F19" s="6"/>
      <c r="G19" s="6" t="s">
        <v>3</v>
      </c>
      <c r="H19" s="6" t="s">
        <v>28</v>
      </c>
    </row>
    <row r="20" spans="1:8" ht="15.75" customHeight="1" x14ac:dyDescent="0.25">
      <c r="A20" s="2" t="s">
        <v>101</v>
      </c>
      <c r="B20" s="6" t="s">
        <v>102</v>
      </c>
      <c r="C20" s="6" t="s">
        <v>94</v>
      </c>
      <c r="D20" s="6" t="s">
        <v>103</v>
      </c>
      <c r="E20" s="6" t="s">
        <v>104</v>
      </c>
      <c r="F20" s="6"/>
      <c r="G20" s="6" t="s">
        <v>3</v>
      </c>
      <c r="H20" s="6" t="s">
        <v>28</v>
      </c>
    </row>
    <row r="21" spans="1:8" ht="15.75" customHeight="1" x14ac:dyDescent="0.25">
      <c r="A21" s="2" t="s">
        <v>105</v>
      </c>
      <c r="B21" s="3" t="s">
        <v>106</v>
      </c>
      <c r="C21" s="3" t="s">
        <v>35</v>
      </c>
      <c r="D21" s="3" t="s">
        <v>107</v>
      </c>
      <c r="E21" s="3" t="s">
        <v>108</v>
      </c>
      <c r="F21" s="3"/>
      <c r="G21" s="3" t="s">
        <v>2</v>
      </c>
      <c r="H21" s="3" t="s">
        <v>28</v>
      </c>
    </row>
    <row r="22" spans="1:8" ht="15.75" customHeight="1" x14ac:dyDescent="0.25">
      <c r="A22" s="2" t="s">
        <v>109</v>
      </c>
      <c r="B22" s="3" t="s">
        <v>110</v>
      </c>
      <c r="C22" s="3" t="s">
        <v>111</v>
      </c>
      <c r="D22" s="3" t="s">
        <v>112</v>
      </c>
      <c r="E22" s="3" t="s">
        <v>113</v>
      </c>
      <c r="F22" s="3"/>
      <c r="G22" s="3" t="s">
        <v>3</v>
      </c>
      <c r="H22" s="3" t="s">
        <v>28</v>
      </c>
    </row>
    <row r="23" spans="1:8" ht="15.75" customHeight="1" x14ac:dyDescent="0.25">
      <c r="A23" s="2" t="s">
        <v>114</v>
      </c>
      <c r="B23" s="3" t="s">
        <v>115</v>
      </c>
      <c r="C23" s="3" t="s">
        <v>56</v>
      </c>
      <c r="D23" s="3" t="s">
        <v>116</v>
      </c>
      <c r="E23" s="3" t="s">
        <v>117</v>
      </c>
      <c r="F23" s="3"/>
      <c r="G23" s="3" t="s">
        <v>3</v>
      </c>
      <c r="H23" s="3" t="s">
        <v>28</v>
      </c>
    </row>
    <row r="24" spans="1:8" ht="15.75" customHeight="1" x14ac:dyDescent="0.25">
      <c r="A24" s="2" t="s">
        <v>118</v>
      </c>
      <c r="B24" s="3" t="s">
        <v>119</v>
      </c>
      <c r="C24" s="3" t="s">
        <v>25</v>
      </c>
      <c r="D24" s="3" t="s">
        <v>120</v>
      </c>
      <c r="E24" s="3" t="s">
        <v>121</v>
      </c>
      <c r="F24" s="3"/>
      <c r="G24" s="3" t="s">
        <v>2</v>
      </c>
      <c r="H24" s="3" t="s">
        <v>28</v>
      </c>
    </row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spans="2:2" ht="15.75" customHeight="1" x14ac:dyDescent="0.25"/>
    <row r="34" spans="2:2" ht="15.75" customHeight="1" x14ac:dyDescent="0.25"/>
    <row r="35" spans="2:2" ht="15.75" customHeight="1" x14ac:dyDescent="0.25"/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>
      <c r="B44" s="7" t="s">
        <v>122</v>
      </c>
    </row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64"/>
  <sheetViews>
    <sheetView workbookViewId="0">
      <selection activeCell="B5" sqref="B5"/>
    </sheetView>
  </sheetViews>
  <sheetFormatPr baseColWidth="10" defaultColWidth="12.6640625" defaultRowHeight="15" customHeight="1" x14ac:dyDescent="0.25"/>
  <cols>
    <col min="1" max="2" width="12.44140625" customWidth="1"/>
    <col min="3" max="4" width="18.88671875" customWidth="1"/>
    <col min="5" max="5" width="20.44140625" customWidth="1"/>
    <col min="6" max="6" width="36.88671875" customWidth="1"/>
    <col min="7" max="7" width="12.44140625" customWidth="1"/>
    <col min="8" max="8" width="16.109375" customWidth="1"/>
    <col min="9" max="10" width="12.44140625" customWidth="1"/>
    <col min="11" max="11" width="16.77734375" bestFit="1" customWidth="1"/>
    <col min="12" max="27" width="12.44140625" customWidth="1"/>
  </cols>
  <sheetData>
    <row r="1" spans="1:27" ht="15.75" customHeight="1" x14ac:dyDescent="0.25"/>
    <row r="2" spans="1:27" ht="15.75" customHeight="1" x14ac:dyDescent="0.25">
      <c r="B2" s="7" t="s">
        <v>122</v>
      </c>
    </row>
    <row r="3" spans="1:27" ht="15.75" customHeight="1" x14ac:dyDescent="0.25"/>
    <row r="4" spans="1:27" ht="31.5" customHeight="1" x14ac:dyDescent="0.25">
      <c r="A4" s="4"/>
      <c r="B4" s="9" t="s">
        <v>4</v>
      </c>
      <c r="C4" s="9" t="s">
        <v>0</v>
      </c>
      <c r="D4" s="9" t="s">
        <v>1</v>
      </c>
      <c r="E4" s="9" t="s">
        <v>5</v>
      </c>
      <c r="F4" s="9" t="s">
        <v>48</v>
      </c>
      <c r="G4" s="9" t="s">
        <v>123</v>
      </c>
      <c r="H4" s="9" t="s">
        <v>49</v>
      </c>
      <c r="I4" s="9" t="s">
        <v>6</v>
      </c>
      <c r="J4" s="9" t="s">
        <v>16</v>
      </c>
      <c r="K4" s="9" t="s">
        <v>125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39.6" x14ac:dyDescent="0.25">
      <c r="A5" s="4"/>
      <c r="B5" s="11" t="s">
        <v>17</v>
      </c>
      <c r="C5" s="10" t="s">
        <v>24</v>
      </c>
      <c r="D5" s="10" t="s">
        <v>25</v>
      </c>
      <c r="E5" s="10" t="s">
        <v>26</v>
      </c>
      <c r="F5" s="10" t="s">
        <v>27</v>
      </c>
      <c r="G5" s="10" t="s">
        <v>18</v>
      </c>
      <c r="H5" s="10"/>
      <c r="I5" s="10" t="s">
        <v>2</v>
      </c>
      <c r="J5" s="10" t="s">
        <v>28</v>
      </c>
      <c r="K5" s="10">
        <v>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52.8" x14ac:dyDescent="0.25">
      <c r="A6" s="4"/>
      <c r="B6" s="11" t="s">
        <v>29</v>
      </c>
      <c r="C6" s="10" t="s">
        <v>30</v>
      </c>
      <c r="D6" s="10" t="s">
        <v>31</v>
      </c>
      <c r="E6" s="10" t="s">
        <v>32</v>
      </c>
      <c r="F6" s="10" t="s">
        <v>33</v>
      </c>
      <c r="G6" s="10" t="s">
        <v>23</v>
      </c>
      <c r="H6" s="10"/>
      <c r="I6" s="10" t="s">
        <v>2</v>
      </c>
      <c r="J6" s="10" t="s">
        <v>28</v>
      </c>
      <c r="K6" s="10">
        <v>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39.6" x14ac:dyDescent="0.25">
      <c r="A7" s="4"/>
      <c r="B7" s="11" t="s">
        <v>19</v>
      </c>
      <c r="C7" s="10" t="s">
        <v>34</v>
      </c>
      <c r="D7" s="10" t="s">
        <v>35</v>
      </c>
      <c r="E7" s="10" t="s">
        <v>36</v>
      </c>
      <c r="F7" s="10" t="s">
        <v>37</v>
      </c>
      <c r="G7" s="10" t="s">
        <v>20</v>
      </c>
      <c r="H7" s="10"/>
      <c r="I7" s="10" t="s">
        <v>2</v>
      </c>
      <c r="J7" s="10" t="s">
        <v>28</v>
      </c>
      <c r="K7" s="10">
        <v>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39.6" x14ac:dyDescent="0.25">
      <c r="A8" s="4"/>
      <c r="B8" s="11" t="s">
        <v>38</v>
      </c>
      <c r="C8" s="10" t="s">
        <v>39</v>
      </c>
      <c r="D8" s="10" t="s">
        <v>35</v>
      </c>
      <c r="E8" s="10" t="s">
        <v>40</v>
      </c>
      <c r="F8" s="10" t="s">
        <v>41</v>
      </c>
      <c r="G8" s="10" t="s">
        <v>124</v>
      </c>
      <c r="H8" s="10"/>
      <c r="I8" s="10" t="s">
        <v>2</v>
      </c>
      <c r="J8" s="10" t="s">
        <v>28</v>
      </c>
      <c r="K8" s="10">
        <v>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6.4" x14ac:dyDescent="0.25">
      <c r="B9" s="11" t="s">
        <v>21</v>
      </c>
      <c r="C9" s="10" t="s">
        <v>42</v>
      </c>
      <c r="D9" s="10" t="s">
        <v>35</v>
      </c>
      <c r="E9" s="10" t="s">
        <v>43</v>
      </c>
      <c r="F9" s="10" t="s">
        <v>44</v>
      </c>
      <c r="G9" s="10" t="s">
        <v>18</v>
      </c>
      <c r="H9" s="10"/>
      <c r="I9" s="10" t="s">
        <v>3</v>
      </c>
      <c r="J9" s="10" t="s">
        <v>28</v>
      </c>
      <c r="K9" s="10">
        <v>2</v>
      </c>
    </row>
    <row r="10" spans="1:27" ht="39" customHeight="1" x14ac:dyDescent="0.25">
      <c r="B10" s="11" t="s">
        <v>22</v>
      </c>
      <c r="C10" s="10" t="s">
        <v>45</v>
      </c>
      <c r="D10" s="10" t="s">
        <v>35</v>
      </c>
      <c r="E10" s="10" t="s">
        <v>46</v>
      </c>
      <c r="F10" s="10" t="s">
        <v>47</v>
      </c>
      <c r="G10" s="10" t="s">
        <v>23</v>
      </c>
      <c r="H10" s="10"/>
      <c r="I10" s="10" t="s">
        <v>2</v>
      </c>
      <c r="J10" s="10" t="s">
        <v>28</v>
      </c>
      <c r="K10" s="10">
        <v>5</v>
      </c>
    </row>
    <row r="11" spans="1:27" ht="13.2" x14ac:dyDescent="0.25"/>
    <row r="12" spans="1:27" ht="15.75" customHeight="1" x14ac:dyDescent="0.25"/>
    <row r="13" spans="1:27" ht="15.75" customHeight="1" x14ac:dyDescent="0.25">
      <c r="B13" s="5"/>
    </row>
    <row r="14" spans="1:27" ht="15.75" customHeight="1" x14ac:dyDescent="0.25"/>
    <row r="15" spans="1:27" ht="15.75" customHeight="1" x14ac:dyDescent="0.25"/>
    <row r="16" spans="1:2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981"/>
  <sheetViews>
    <sheetView tabSelected="1" zoomScale="85" zoomScaleNormal="85" workbookViewId="0">
      <selection activeCell="G1" sqref="G1:K24"/>
    </sheetView>
  </sheetViews>
  <sheetFormatPr baseColWidth="10" defaultColWidth="12.6640625" defaultRowHeight="15" customHeight="1" x14ac:dyDescent="0.25"/>
  <cols>
    <col min="1" max="1" width="21.21875" customWidth="1"/>
    <col min="2" max="2" width="24.5546875" customWidth="1"/>
    <col min="3" max="21" width="12.44140625" customWidth="1"/>
    <col min="22" max="22" width="17" customWidth="1"/>
    <col min="23" max="26" width="12.44140625" customWidth="1"/>
  </cols>
  <sheetData>
    <row r="1" spans="1:22" ht="15.75" customHeight="1" thickBot="1" x14ac:dyDescent="0.3">
      <c r="A1" s="16" t="s">
        <v>127</v>
      </c>
      <c r="B1" s="17" t="s">
        <v>7</v>
      </c>
      <c r="C1" s="17" t="s">
        <v>128</v>
      </c>
      <c r="D1" s="17" t="s">
        <v>129</v>
      </c>
      <c r="E1" s="17" t="s">
        <v>130</v>
      </c>
      <c r="F1" s="17" t="s">
        <v>131</v>
      </c>
      <c r="G1" s="63" t="s">
        <v>132</v>
      </c>
      <c r="H1" s="63" t="s">
        <v>133</v>
      </c>
      <c r="I1" s="63" t="s">
        <v>134</v>
      </c>
      <c r="J1" s="63" t="s">
        <v>135</v>
      </c>
      <c r="K1" s="63" t="s">
        <v>136</v>
      </c>
      <c r="L1" s="56" t="s">
        <v>137</v>
      </c>
      <c r="M1" s="56" t="s">
        <v>138</v>
      </c>
      <c r="N1" s="56" t="s">
        <v>139</v>
      </c>
      <c r="O1" s="56" t="s">
        <v>140</v>
      </c>
      <c r="P1" s="56" t="s">
        <v>141</v>
      </c>
      <c r="Q1" s="48" t="s">
        <v>8</v>
      </c>
      <c r="R1" s="48" t="s">
        <v>9</v>
      </c>
      <c r="S1" s="48" t="s">
        <v>10</v>
      </c>
      <c r="T1" s="48" t="s">
        <v>11</v>
      </c>
      <c r="U1" s="48" t="s">
        <v>12</v>
      </c>
      <c r="V1" s="43" t="s">
        <v>13</v>
      </c>
    </row>
    <row r="2" spans="1:22" ht="15.75" customHeight="1" x14ac:dyDescent="0.25">
      <c r="A2" s="18" t="s">
        <v>142</v>
      </c>
      <c r="B2" s="19">
        <v>2</v>
      </c>
      <c r="C2" s="20">
        <v>0</v>
      </c>
      <c r="D2" s="20">
        <v>0</v>
      </c>
      <c r="E2" s="20">
        <v>0</v>
      </c>
      <c r="F2" s="20">
        <v>0</v>
      </c>
      <c r="G2" s="64">
        <v>0</v>
      </c>
      <c r="H2" s="64">
        <v>0</v>
      </c>
      <c r="I2" s="64">
        <v>0</v>
      </c>
      <c r="J2" s="64">
        <v>0</v>
      </c>
      <c r="K2" s="64">
        <v>0</v>
      </c>
      <c r="L2" s="57">
        <v>0</v>
      </c>
      <c r="M2" s="57">
        <v>0</v>
      </c>
      <c r="N2" s="57">
        <v>0</v>
      </c>
      <c r="O2" s="57">
        <v>0</v>
      </c>
      <c r="P2" s="57">
        <v>0</v>
      </c>
      <c r="Q2" s="49">
        <v>0</v>
      </c>
      <c r="R2" s="49">
        <v>0</v>
      </c>
      <c r="S2" s="49">
        <v>1</v>
      </c>
      <c r="T2" s="49">
        <v>0</v>
      </c>
      <c r="U2" s="49">
        <v>1</v>
      </c>
      <c r="V2" s="44">
        <f>SUM(Q2:U2)</f>
        <v>2</v>
      </c>
    </row>
    <row r="3" spans="1:22" ht="15.75" customHeight="1" x14ac:dyDescent="0.25">
      <c r="A3" s="21" t="s">
        <v>143</v>
      </c>
      <c r="B3" s="22">
        <v>1</v>
      </c>
      <c r="C3" s="23">
        <v>0</v>
      </c>
      <c r="D3" s="23">
        <v>0</v>
      </c>
      <c r="E3" s="23">
        <v>0</v>
      </c>
      <c r="F3" s="23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58">
        <v>0</v>
      </c>
      <c r="M3" s="58">
        <v>0</v>
      </c>
      <c r="N3" s="58">
        <v>0</v>
      </c>
      <c r="O3" s="58">
        <v>0</v>
      </c>
      <c r="P3" s="58">
        <v>0</v>
      </c>
      <c r="Q3" s="50">
        <v>0</v>
      </c>
      <c r="R3" s="50">
        <v>0</v>
      </c>
      <c r="S3" s="50">
        <v>0</v>
      </c>
      <c r="T3" s="50">
        <v>1</v>
      </c>
      <c r="U3" s="50">
        <v>0</v>
      </c>
      <c r="V3" s="45">
        <f t="shared" ref="V3:V15" si="0">SUM(Q3:U3)</f>
        <v>1</v>
      </c>
    </row>
    <row r="4" spans="1:22" ht="15.75" customHeight="1" x14ac:dyDescent="0.25">
      <c r="A4" s="21" t="s">
        <v>144</v>
      </c>
      <c r="B4" s="22">
        <v>1</v>
      </c>
      <c r="C4" s="23">
        <v>0</v>
      </c>
      <c r="D4" s="23">
        <v>0</v>
      </c>
      <c r="E4" s="23">
        <v>0</v>
      </c>
      <c r="F4" s="23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58">
        <v>0</v>
      </c>
      <c r="M4" s="58">
        <v>0</v>
      </c>
      <c r="N4" s="58">
        <v>0</v>
      </c>
      <c r="O4" s="58">
        <v>0</v>
      </c>
      <c r="P4" s="58">
        <v>0</v>
      </c>
      <c r="Q4" s="50">
        <v>0</v>
      </c>
      <c r="R4" s="50">
        <v>0</v>
      </c>
      <c r="S4" s="50">
        <v>1</v>
      </c>
      <c r="T4" s="50">
        <v>0</v>
      </c>
      <c r="U4" s="50">
        <v>0</v>
      </c>
      <c r="V4" s="45">
        <f t="shared" si="0"/>
        <v>1</v>
      </c>
    </row>
    <row r="5" spans="1:22" ht="15.75" customHeight="1" x14ac:dyDescent="0.25">
      <c r="A5" s="21" t="s">
        <v>145</v>
      </c>
      <c r="B5" s="24">
        <v>1</v>
      </c>
      <c r="C5" s="25">
        <v>0</v>
      </c>
      <c r="D5" s="25">
        <v>0</v>
      </c>
      <c r="E5" s="25">
        <v>0</v>
      </c>
      <c r="F5" s="25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59">
        <v>0</v>
      </c>
      <c r="M5" s="59">
        <v>0</v>
      </c>
      <c r="N5" s="59">
        <v>0</v>
      </c>
      <c r="O5" s="59">
        <v>0</v>
      </c>
      <c r="P5" s="59">
        <v>0</v>
      </c>
      <c r="Q5" s="50">
        <v>0</v>
      </c>
      <c r="R5" s="50">
        <v>1</v>
      </c>
      <c r="S5" s="50">
        <v>0</v>
      </c>
      <c r="T5" s="50">
        <v>0</v>
      </c>
      <c r="U5" s="50">
        <v>0</v>
      </c>
      <c r="V5" s="45">
        <f t="shared" si="0"/>
        <v>1</v>
      </c>
    </row>
    <row r="6" spans="1:22" ht="15.75" customHeight="1" x14ac:dyDescent="0.25">
      <c r="A6" s="21" t="s">
        <v>157</v>
      </c>
      <c r="B6" s="24">
        <v>2</v>
      </c>
      <c r="C6" s="25">
        <v>0</v>
      </c>
      <c r="D6" s="25">
        <v>0</v>
      </c>
      <c r="E6" s="25">
        <v>0</v>
      </c>
      <c r="F6" s="25">
        <v>0</v>
      </c>
      <c r="G6" s="66">
        <v>0</v>
      </c>
      <c r="H6" s="66">
        <v>0</v>
      </c>
      <c r="I6" s="66">
        <v>0</v>
      </c>
      <c r="J6" s="66">
        <v>0</v>
      </c>
      <c r="K6" s="66">
        <v>0</v>
      </c>
      <c r="L6" s="59">
        <v>0</v>
      </c>
      <c r="M6" s="59">
        <v>0</v>
      </c>
      <c r="N6" s="59">
        <v>0</v>
      </c>
      <c r="O6" s="59">
        <v>0</v>
      </c>
      <c r="P6" s="59">
        <v>0</v>
      </c>
      <c r="Q6" s="50">
        <v>0</v>
      </c>
      <c r="R6" s="50">
        <v>1</v>
      </c>
      <c r="S6" s="50">
        <v>1</v>
      </c>
      <c r="T6" s="50">
        <v>0</v>
      </c>
      <c r="U6" s="50"/>
      <c r="V6" s="45">
        <f t="shared" si="0"/>
        <v>2</v>
      </c>
    </row>
    <row r="7" spans="1:22" ht="15.75" customHeight="1" x14ac:dyDescent="0.25">
      <c r="A7" s="21" t="s">
        <v>158</v>
      </c>
      <c r="B7" s="22">
        <v>1</v>
      </c>
      <c r="C7" s="25">
        <v>0</v>
      </c>
      <c r="D7" s="25">
        <v>0</v>
      </c>
      <c r="E7" s="25">
        <v>0</v>
      </c>
      <c r="F7" s="25">
        <v>0</v>
      </c>
      <c r="G7" s="66">
        <v>0</v>
      </c>
      <c r="H7" s="66">
        <v>0</v>
      </c>
      <c r="I7" s="66">
        <v>0</v>
      </c>
      <c r="J7" s="66">
        <v>0</v>
      </c>
      <c r="K7" s="66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0">
        <v>0</v>
      </c>
      <c r="R7" s="50">
        <v>0</v>
      </c>
      <c r="S7" s="50">
        <v>0</v>
      </c>
      <c r="T7" s="50">
        <v>1</v>
      </c>
      <c r="U7" s="50">
        <v>0</v>
      </c>
      <c r="V7" s="45">
        <f t="shared" si="0"/>
        <v>1</v>
      </c>
    </row>
    <row r="8" spans="1:22" ht="15.75" customHeight="1" x14ac:dyDescent="0.25">
      <c r="A8" s="21" t="s">
        <v>159</v>
      </c>
      <c r="B8" s="22">
        <v>2</v>
      </c>
      <c r="C8" s="25">
        <v>0</v>
      </c>
      <c r="D8" s="25">
        <v>0</v>
      </c>
      <c r="E8" s="25">
        <v>0</v>
      </c>
      <c r="F8" s="25">
        <v>0</v>
      </c>
      <c r="G8" s="66">
        <v>0</v>
      </c>
      <c r="H8" s="66">
        <v>0</v>
      </c>
      <c r="I8" s="66">
        <v>0</v>
      </c>
      <c r="J8" s="66">
        <v>0</v>
      </c>
      <c r="K8" s="66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0">
        <v>0</v>
      </c>
      <c r="R8" s="50">
        <v>0</v>
      </c>
      <c r="S8" s="50">
        <v>1</v>
      </c>
      <c r="T8" s="50">
        <v>0</v>
      </c>
      <c r="U8" s="50">
        <v>1</v>
      </c>
      <c r="V8" s="45">
        <f t="shared" si="0"/>
        <v>2</v>
      </c>
    </row>
    <row r="9" spans="1:22" ht="15.75" customHeight="1" x14ac:dyDescent="0.25">
      <c r="A9" s="21" t="s">
        <v>160</v>
      </c>
      <c r="B9" s="26">
        <v>3</v>
      </c>
      <c r="C9" s="25">
        <v>0</v>
      </c>
      <c r="D9" s="25">
        <v>0</v>
      </c>
      <c r="E9" s="25">
        <v>0</v>
      </c>
      <c r="F9" s="25">
        <v>0</v>
      </c>
      <c r="G9" s="66">
        <v>0</v>
      </c>
      <c r="H9" s="66">
        <v>0</v>
      </c>
      <c r="I9" s="66">
        <v>0</v>
      </c>
      <c r="J9" s="66">
        <v>0</v>
      </c>
      <c r="K9" s="66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0">
        <v>0</v>
      </c>
      <c r="R9" s="50">
        <v>0</v>
      </c>
      <c r="S9" s="50">
        <v>1</v>
      </c>
      <c r="T9" s="50">
        <v>1</v>
      </c>
      <c r="U9" s="50">
        <v>0</v>
      </c>
      <c r="V9" s="45">
        <f t="shared" si="0"/>
        <v>2</v>
      </c>
    </row>
    <row r="10" spans="1:22" ht="15.75" customHeight="1" x14ac:dyDescent="0.25">
      <c r="A10" s="21" t="s">
        <v>161</v>
      </c>
      <c r="B10" s="26">
        <v>1</v>
      </c>
      <c r="C10" s="25">
        <v>0</v>
      </c>
      <c r="D10" s="25">
        <v>0</v>
      </c>
      <c r="E10" s="25">
        <v>0</v>
      </c>
      <c r="F10" s="25">
        <v>0</v>
      </c>
      <c r="G10" s="66">
        <v>0</v>
      </c>
      <c r="H10" s="66">
        <v>0</v>
      </c>
      <c r="I10" s="66">
        <v>0</v>
      </c>
      <c r="J10" s="66">
        <v>0</v>
      </c>
      <c r="K10" s="66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0">
        <v>0</v>
      </c>
      <c r="R10" s="50">
        <v>1</v>
      </c>
      <c r="S10" s="50">
        <v>0</v>
      </c>
      <c r="T10" s="50">
        <v>0</v>
      </c>
      <c r="U10" s="50">
        <v>0</v>
      </c>
      <c r="V10" s="45">
        <f t="shared" si="0"/>
        <v>1</v>
      </c>
    </row>
    <row r="11" spans="1:22" ht="15.75" customHeight="1" x14ac:dyDescent="0.25">
      <c r="A11" s="21" t="s">
        <v>146</v>
      </c>
      <c r="B11" s="26">
        <v>1</v>
      </c>
      <c r="C11" s="25">
        <v>0</v>
      </c>
      <c r="D11" s="25">
        <v>0</v>
      </c>
      <c r="E11" s="25">
        <v>0</v>
      </c>
      <c r="F11" s="25">
        <v>0</v>
      </c>
      <c r="G11" s="66">
        <v>0</v>
      </c>
      <c r="H11" s="66">
        <v>0</v>
      </c>
      <c r="I11" s="66">
        <v>0</v>
      </c>
      <c r="J11" s="66">
        <v>0</v>
      </c>
      <c r="K11" s="66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0">
        <v>0</v>
      </c>
      <c r="R11" s="50">
        <v>1</v>
      </c>
      <c r="S11" s="50">
        <v>0</v>
      </c>
      <c r="T11" s="50">
        <v>1</v>
      </c>
      <c r="U11" s="50">
        <v>0</v>
      </c>
      <c r="V11" s="45">
        <f t="shared" si="0"/>
        <v>2</v>
      </c>
    </row>
    <row r="12" spans="1:22" ht="15.6" customHeight="1" x14ac:dyDescent="0.25">
      <c r="A12" s="21" t="s">
        <v>147</v>
      </c>
      <c r="B12" s="26">
        <v>2</v>
      </c>
      <c r="C12" s="25">
        <v>0</v>
      </c>
      <c r="D12" s="25">
        <v>0</v>
      </c>
      <c r="E12" s="25">
        <v>0</v>
      </c>
      <c r="F12" s="25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0">
        <v>0</v>
      </c>
      <c r="R12" s="50">
        <v>1</v>
      </c>
      <c r="S12" s="50">
        <v>0</v>
      </c>
      <c r="T12" s="50">
        <v>1</v>
      </c>
      <c r="U12" s="50">
        <v>0</v>
      </c>
      <c r="V12" s="45">
        <f t="shared" si="0"/>
        <v>2</v>
      </c>
    </row>
    <row r="13" spans="1:22" s="13" customFormat="1" ht="15.6" customHeight="1" x14ac:dyDescent="0.25">
      <c r="A13" s="21" t="s">
        <v>162</v>
      </c>
      <c r="B13" s="26">
        <v>2</v>
      </c>
      <c r="C13" s="25">
        <v>0</v>
      </c>
      <c r="D13" s="25">
        <v>0</v>
      </c>
      <c r="E13" s="25">
        <v>0</v>
      </c>
      <c r="F13" s="25">
        <v>0</v>
      </c>
      <c r="G13" s="66">
        <v>0</v>
      </c>
      <c r="H13" s="66">
        <v>0</v>
      </c>
      <c r="I13" s="66">
        <v>0</v>
      </c>
      <c r="J13" s="66">
        <v>0</v>
      </c>
      <c r="K13" s="66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0">
        <v>0</v>
      </c>
      <c r="R13" s="50">
        <v>0</v>
      </c>
      <c r="S13" s="50">
        <v>1</v>
      </c>
      <c r="T13" s="50">
        <v>0</v>
      </c>
      <c r="U13" s="50">
        <v>0</v>
      </c>
      <c r="V13" s="45">
        <f t="shared" si="0"/>
        <v>1</v>
      </c>
    </row>
    <row r="14" spans="1:22" s="13" customFormat="1" ht="15.6" customHeight="1" x14ac:dyDescent="0.25">
      <c r="A14" s="21" t="s">
        <v>163</v>
      </c>
      <c r="B14" s="26">
        <v>2</v>
      </c>
      <c r="C14" s="25">
        <v>0</v>
      </c>
      <c r="D14" s="25">
        <v>0</v>
      </c>
      <c r="E14" s="25">
        <v>0</v>
      </c>
      <c r="F14" s="25">
        <v>0</v>
      </c>
      <c r="G14" s="66">
        <v>0</v>
      </c>
      <c r="H14" s="66">
        <v>0</v>
      </c>
      <c r="I14" s="66">
        <v>0</v>
      </c>
      <c r="J14" s="66">
        <v>0</v>
      </c>
      <c r="K14" s="66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0">
        <v>1</v>
      </c>
      <c r="R14" s="50">
        <v>0</v>
      </c>
      <c r="S14" s="50">
        <v>1</v>
      </c>
      <c r="T14" s="50">
        <v>0</v>
      </c>
      <c r="U14" s="50">
        <v>0</v>
      </c>
      <c r="V14" s="45">
        <f t="shared" si="0"/>
        <v>2</v>
      </c>
    </row>
    <row r="15" spans="1:22" s="13" customFormat="1" ht="15.6" customHeight="1" thickBot="1" x14ac:dyDescent="0.3">
      <c r="A15" s="21" t="s">
        <v>164</v>
      </c>
      <c r="B15" s="28">
        <v>1</v>
      </c>
      <c r="C15" s="29">
        <v>0</v>
      </c>
      <c r="D15" s="29">
        <v>0</v>
      </c>
      <c r="E15" s="29">
        <v>0</v>
      </c>
      <c r="F15" s="29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51">
        <v>0</v>
      </c>
      <c r="R15" s="51">
        <v>1</v>
      </c>
      <c r="S15" s="51">
        <v>0</v>
      </c>
      <c r="T15" s="51">
        <v>0</v>
      </c>
      <c r="U15" s="51">
        <v>0</v>
      </c>
      <c r="V15" s="46">
        <f t="shared" si="0"/>
        <v>1</v>
      </c>
    </row>
    <row r="16" spans="1:22" s="13" customFormat="1" ht="15.6" customHeight="1" x14ac:dyDescent="0.25">
      <c r="A16" s="18" t="s">
        <v>148</v>
      </c>
      <c r="B16" s="30">
        <v>2</v>
      </c>
      <c r="C16" s="31">
        <v>0</v>
      </c>
      <c r="D16" s="31">
        <v>0</v>
      </c>
      <c r="E16" s="31">
        <v>0</v>
      </c>
      <c r="F16" s="31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57">
        <v>0</v>
      </c>
      <c r="M16" s="57">
        <v>0</v>
      </c>
      <c r="N16" s="57">
        <v>0</v>
      </c>
      <c r="O16" s="57">
        <v>1</v>
      </c>
      <c r="P16" s="57">
        <v>1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44">
        <f>SUM(L16:P16)</f>
        <v>2</v>
      </c>
    </row>
    <row r="17" spans="1:22" s="13" customFormat="1" ht="15.75" customHeight="1" x14ac:dyDescent="0.25">
      <c r="A17" s="21" t="s">
        <v>149</v>
      </c>
      <c r="B17" s="24">
        <v>2</v>
      </c>
      <c r="C17" s="25">
        <v>0</v>
      </c>
      <c r="D17" s="25">
        <v>0</v>
      </c>
      <c r="E17" s="25">
        <v>0</v>
      </c>
      <c r="F17" s="25">
        <v>0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58">
        <v>0</v>
      </c>
      <c r="M17" s="58">
        <v>0</v>
      </c>
      <c r="N17" s="58">
        <v>1</v>
      </c>
      <c r="O17" s="58">
        <v>1</v>
      </c>
      <c r="P17" s="58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45">
        <f t="shared" ref="V17:V24" si="1">SUM(L17:P17)</f>
        <v>2</v>
      </c>
    </row>
    <row r="18" spans="1:22" s="13" customFormat="1" ht="15.75" customHeight="1" x14ac:dyDescent="0.25">
      <c r="A18" s="21" t="s">
        <v>150</v>
      </c>
      <c r="B18" s="24">
        <v>2</v>
      </c>
      <c r="C18" s="25">
        <v>0</v>
      </c>
      <c r="D18" s="25">
        <v>0</v>
      </c>
      <c r="E18" s="25">
        <v>0</v>
      </c>
      <c r="F18" s="25">
        <v>0</v>
      </c>
      <c r="G18" s="66">
        <v>0</v>
      </c>
      <c r="H18" s="66">
        <v>0</v>
      </c>
      <c r="I18" s="66">
        <v>0</v>
      </c>
      <c r="J18" s="66">
        <v>0</v>
      </c>
      <c r="K18" s="66">
        <v>0</v>
      </c>
      <c r="L18" s="58">
        <v>0</v>
      </c>
      <c r="M18" s="58">
        <v>1</v>
      </c>
      <c r="N18" s="58">
        <v>1</v>
      </c>
      <c r="O18" s="58">
        <v>0</v>
      </c>
      <c r="P18" s="58">
        <v>0</v>
      </c>
      <c r="Q18" s="53">
        <v>0</v>
      </c>
      <c r="R18" s="53">
        <v>0</v>
      </c>
      <c r="S18" s="53">
        <v>0</v>
      </c>
      <c r="T18" s="53">
        <v>0</v>
      </c>
      <c r="U18" s="53">
        <v>0</v>
      </c>
      <c r="V18" s="45">
        <f t="shared" si="1"/>
        <v>2</v>
      </c>
    </row>
    <row r="19" spans="1:22" s="13" customFormat="1" ht="15.75" customHeight="1" x14ac:dyDescent="0.25">
      <c r="A19" s="21" t="s">
        <v>151</v>
      </c>
      <c r="B19" s="32">
        <v>1</v>
      </c>
      <c r="C19" s="25">
        <v>0</v>
      </c>
      <c r="D19" s="25">
        <v>0</v>
      </c>
      <c r="E19" s="25">
        <v>0</v>
      </c>
      <c r="F19" s="25">
        <v>0</v>
      </c>
      <c r="G19" s="66">
        <v>0</v>
      </c>
      <c r="H19" s="66">
        <v>0</v>
      </c>
      <c r="I19" s="66">
        <v>0</v>
      </c>
      <c r="J19" s="66">
        <v>0</v>
      </c>
      <c r="K19" s="66">
        <v>0</v>
      </c>
      <c r="L19" s="58">
        <v>0</v>
      </c>
      <c r="M19" s="58">
        <v>0</v>
      </c>
      <c r="N19" s="58">
        <v>1</v>
      </c>
      <c r="O19" s="58">
        <v>0</v>
      </c>
      <c r="P19" s="58">
        <v>0</v>
      </c>
      <c r="Q19" s="53">
        <v>0</v>
      </c>
      <c r="R19" s="53">
        <v>0</v>
      </c>
      <c r="S19" s="53">
        <v>0</v>
      </c>
      <c r="T19" s="53">
        <v>0</v>
      </c>
      <c r="U19" s="53">
        <v>0</v>
      </c>
      <c r="V19" s="45">
        <f t="shared" si="1"/>
        <v>1</v>
      </c>
    </row>
    <row r="20" spans="1:22" s="13" customFormat="1" ht="15.75" customHeight="1" x14ac:dyDescent="0.25">
      <c r="A20" s="21" t="s">
        <v>152</v>
      </c>
      <c r="B20" s="32">
        <v>1</v>
      </c>
      <c r="C20" s="25">
        <v>0</v>
      </c>
      <c r="D20" s="25">
        <v>0</v>
      </c>
      <c r="E20" s="25">
        <v>0</v>
      </c>
      <c r="F20" s="25">
        <v>0</v>
      </c>
      <c r="G20" s="66">
        <v>0</v>
      </c>
      <c r="H20" s="66">
        <v>0</v>
      </c>
      <c r="I20" s="66">
        <v>0</v>
      </c>
      <c r="J20" s="66">
        <v>0</v>
      </c>
      <c r="K20" s="66">
        <v>0</v>
      </c>
      <c r="L20" s="58">
        <v>0</v>
      </c>
      <c r="M20" s="58">
        <v>0</v>
      </c>
      <c r="N20" s="58">
        <v>1</v>
      </c>
      <c r="O20" s="58">
        <v>0</v>
      </c>
      <c r="P20" s="58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45">
        <f t="shared" si="1"/>
        <v>1</v>
      </c>
    </row>
    <row r="21" spans="1:22" s="13" customFormat="1" ht="15.75" customHeight="1" x14ac:dyDescent="0.25">
      <c r="A21" s="21" t="s">
        <v>153</v>
      </c>
      <c r="B21" s="32">
        <v>2</v>
      </c>
      <c r="C21" s="25">
        <v>0</v>
      </c>
      <c r="D21" s="25">
        <v>0</v>
      </c>
      <c r="E21" s="25">
        <v>0</v>
      </c>
      <c r="F21" s="25">
        <v>0</v>
      </c>
      <c r="G21" s="66">
        <v>0</v>
      </c>
      <c r="H21" s="66">
        <v>0</v>
      </c>
      <c r="I21" s="66">
        <v>0</v>
      </c>
      <c r="J21" s="66">
        <v>0</v>
      </c>
      <c r="K21" s="66">
        <v>0</v>
      </c>
      <c r="L21" s="58">
        <v>0</v>
      </c>
      <c r="M21" s="58">
        <v>1</v>
      </c>
      <c r="N21" s="58">
        <v>0</v>
      </c>
      <c r="O21" s="58">
        <v>0</v>
      </c>
      <c r="P21" s="58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45">
        <f t="shared" si="1"/>
        <v>1</v>
      </c>
    </row>
    <row r="22" spans="1:22" s="13" customFormat="1" ht="15.75" customHeight="1" x14ac:dyDescent="0.25">
      <c r="A22" s="21" t="s">
        <v>154</v>
      </c>
      <c r="B22" s="32">
        <v>2</v>
      </c>
      <c r="C22" s="25">
        <v>0</v>
      </c>
      <c r="D22" s="25">
        <v>0</v>
      </c>
      <c r="E22" s="25">
        <v>0</v>
      </c>
      <c r="F22" s="25">
        <v>0</v>
      </c>
      <c r="G22" s="66">
        <v>0</v>
      </c>
      <c r="H22" s="66">
        <v>0</v>
      </c>
      <c r="I22" s="66">
        <v>0</v>
      </c>
      <c r="J22" s="66">
        <v>0</v>
      </c>
      <c r="K22" s="66">
        <v>0</v>
      </c>
      <c r="L22" s="58">
        <v>0</v>
      </c>
      <c r="M22" s="58">
        <v>1</v>
      </c>
      <c r="N22" s="58">
        <v>1</v>
      </c>
      <c r="O22" s="58">
        <v>0</v>
      </c>
      <c r="P22" s="58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45">
        <f>SUM([1]burdonchart!L23:P23)</f>
        <v>1</v>
      </c>
    </row>
    <row r="23" spans="1:22" s="13" customFormat="1" ht="15.75" customHeight="1" thickBot="1" x14ac:dyDescent="0.3">
      <c r="A23" s="27" t="s">
        <v>155</v>
      </c>
      <c r="B23" s="40"/>
      <c r="C23" s="41">
        <v>0</v>
      </c>
      <c r="D23" s="41">
        <v>0</v>
      </c>
      <c r="E23" s="41">
        <v>0</v>
      </c>
      <c r="F23" s="41">
        <v>0</v>
      </c>
      <c r="G23" s="69">
        <v>1</v>
      </c>
      <c r="H23" s="69">
        <v>0</v>
      </c>
      <c r="I23" s="69">
        <v>0</v>
      </c>
      <c r="J23" s="66">
        <v>0</v>
      </c>
      <c r="K23" s="66">
        <v>1</v>
      </c>
      <c r="L23" s="61">
        <v>1</v>
      </c>
      <c r="M23" s="61">
        <v>1</v>
      </c>
      <c r="N23" s="61">
        <v>1</v>
      </c>
      <c r="O23" s="61">
        <v>1</v>
      </c>
      <c r="P23" s="61">
        <v>1</v>
      </c>
      <c r="Q23" s="54">
        <v>1</v>
      </c>
      <c r="R23" s="54">
        <v>1</v>
      </c>
      <c r="S23" s="54">
        <v>1</v>
      </c>
      <c r="T23" s="54">
        <v>1</v>
      </c>
      <c r="U23" s="54">
        <v>1</v>
      </c>
      <c r="V23" s="47">
        <f>SUM(Q23:U23)</f>
        <v>5</v>
      </c>
    </row>
    <row r="24" spans="1:22" s="13" customFormat="1" ht="15.75" customHeight="1" thickBot="1" x14ac:dyDescent="0.3">
      <c r="A24" s="27" t="s">
        <v>156</v>
      </c>
      <c r="B24" s="33">
        <v>1</v>
      </c>
      <c r="C24" s="34">
        <v>0</v>
      </c>
      <c r="D24" s="34">
        <v>0</v>
      </c>
      <c r="E24" s="34">
        <v>0</v>
      </c>
      <c r="F24" s="34">
        <v>0</v>
      </c>
      <c r="G24" s="70">
        <v>0</v>
      </c>
      <c r="H24" s="71">
        <v>0</v>
      </c>
      <c r="I24" s="71">
        <v>0</v>
      </c>
      <c r="J24" s="66">
        <v>0</v>
      </c>
      <c r="K24" s="66">
        <v>0</v>
      </c>
      <c r="L24" s="62">
        <v>1</v>
      </c>
      <c r="M24" s="62">
        <v>0</v>
      </c>
      <c r="N24" s="62">
        <v>0</v>
      </c>
      <c r="O24" s="62">
        <v>0</v>
      </c>
      <c r="P24" s="62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46">
        <f t="shared" si="1"/>
        <v>1</v>
      </c>
    </row>
    <row r="25" spans="1:22" ht="15.75" customHeight="1" x14ac:dyDescent="0.25">
      <c r="A25" s="35" t="s">
        <v>14</v>
      </c>
      <c r="B25" s="12">
        <v>40</v>
      </c>
      <c r="C25" s="12">
        <f>B25-SUM(C2:C24)</f>
        <v>40</v>
      </c>
      <c r="D25" s="12">
        <f>C25-SUM(D2:D24)</f>
        <v>40</v>
      </c>
      <c r="E25" s="12">
        <f>D25-SUM(E2:E24)</f>
        <v>40</v>
      </c>
      <c r="F25" s="12">
        <f>E25-SUM(F2:F24)</f>
        <v>40</v>
      </c>
      <c r="G25" s="12">
        <f>F25-SUM(G2:G24)</f>
        <v>39</v>
      </c>
      <c r="H25" s="12">
        <f>G25-SUM(H2:H24)</f>
        <v>39</v>
      </c>
      <c r="I25" s="12">
        <f>H25-SUM(I2:I24)</f>
        <v>39</v>
      </c>
      <c r="J25" s="12">
        <f>I25-SUM(J2:J24)</f>
        <v>39</v>
      </c>
      <c r="K25" s="12">
        <f>J25-SUM(K2:K24)</f>
        <v>38</v>
      </c>
      <c r="L25" s="12">
        <f>K25-SUM(L2:L24)</f>
        <v>36</v>
      </c>
      <c r="M25" s="12">
        <f>L25-SUM(M2:M24)</f>
        <v>32</v>
      </c>
      <c r="N25" s="12">
        <f>M25-SUM(N2:N24)</f>
        <v>26</v>
      </c>
      <c r="O25" s="12">
        <f>N25-SUM(O2:O24)</f>
        <v>23</v>
      </c>
      <c r="P25" s="12">
        <f>O25-SUM(P2:P24)</f>
        <v>21</v>
      </c>
      <c r="Q25" s="12">
        <f>P25-SUM(Q2:Q24)</f>
        <v>19</v>
      </c>
      <c r="R25" s="12">
        <f>Q25-SUM(R2:R24)</f>
        <v>12</v>
      </c>
      <c r="S25" s="12">
        <f>R25-SUM(S2:S24)</f>
        <v>4</v>
      </c>
      <c r="T25" s="12">
        <f>S25-SUM(T2:T24)</f>
        <v>-2</v>
      </c>
      <c r="U25" s="12">
        <f>T25-SUM(U2:U24)</f>
        <v>-5</v>
      </c>
      <c r="V25" s="36"/>
    </row>
    <row r="26" spans="1:22" ht="15.75" customHeight="1" thickBot="1" x14ac:dyDescent="0.3">
      <c r="A26" s="37" t="s">
        <v>15</v>
      </c>
      <c r="B26" s="38">
        <v>40</v>
      </c>
      <c r="C26" s="38">
        <f ca="1">B26-(SUM($C$4:$C$26)/20)</f>
        <v>52.25</v>
      </c>
      <c r="D26" s="38">
        <f ca="1">C26-(SUM($C$4:$C$26)/20)</f>
        <v>49.5</v>
      </c>
      <c r="E26" s="38">
        <f ca="1">D26-(SUM($C$4:$C$26)/20)</f>
        <v>46.75</v>
      </c>
      <c r="F26" s="38">
        <f ca="1">E26-(SUM($C$4:$C$26)/20)</f>
        <v>44</v>
      </c>
      <c r="G26" s="38">
        <f ca="1">F26-(SUM($C$4:$C$26)/20)</f>
        <v>41.25</v>
      </c>
      <c r="H26" s="38">
        <f ca="1">G26-(SUM($C$4:$C$26)/20)</f>
        <v>38.5</v>
      </c>
      <c r="I26" s="38">
        <f ca="1">H26-(SUM($C$4:$C$26)/20)</f>
        <v>35.75</v>
      </c>
      <c r="J26" s="38">
        <f ca="1">I26-(SUM($C$4:$C$26)/20)</f>
        <v>33</v>
      </c>
      <c r="K26" s="38">
        <f ca="1">J26-(SUM($C$4:$C$26)/20)</f>
        <v>30.25</v>
      </c>
      <c r="L26" s="38">
        <f ca="1">K26-(SUM($C$4:$C$26)/20)</f>
        <v>27.5</v>
      </c>
      <c r="M26" s="38">
        <f ca="1">L26-(SUM($C$4:$C$26)/20)</f>
        <v>24.75</v>
      </c>
      <c r="N26" s="38">
        <f ca="1">M26-(SUM($C$4:$C$26)/20)</f>
        <v>22</v>
      </c>
      <c r="O26" s="38">
        <f ca="1">N26-(SUM($C$4:$C$26)/20)</f>
        <v>19.25</v>
      </c>
      <c r="P26" s="38">
        <f ca="1">O26-(SUM($C$4:$C$26)/20)</f>
        <v>16.5</v>
      </c>
      <c r="Q26" s="38">
        <f ca="1">P26-(SUM($C$4:$C$26)/20)</f>
        <v>13.75</v>
      </c>
      <c r="R26" s="38">
        <f ca="1">Q26-(SUM($C$4:$C$26)/20)</f>
        <v>11</v>
      </c>
      <c r="S26" s="38">
        <f ca="1">R26-(SUM($C$4:$C$26)/20)</f>
        <v>8.25</v>
      </c>
      <c r="T26" s="38">
        <f ca="1">S26-(SUM($C$4:$C$26)/20)</f>
        <v>5.5</v>
      </c>
      <c r="U26" s="38">
        <f ca="1">T26-(SUM($C$4:$C$26)/20)</f>
        <v>2.75</v>
      </c>
      <c r="V26" s="39"/>
    </row>
    <row r="27" spans="1:22" s="13" customFormat="1" ht="15.75" customHeight="1" x14ac:dyDescent="0.25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42"/>
    </row>
    <row r="28" spans="1:22" ht="15.75" customHeight="1" x14ac:dyDescent="0.25">
      <c r="A28" s="13"/>
      <c r="B28" s="15" t="s">
        <v>126</v>
      </c>
      <c r="C28" s="15"/>
      <c r="D28" s="15"/>
      <c r="E28" s="15"/>
      <c r="F28" s="15"/>
      <c r="G28" s="15"/>
    </row>
    <row r="29" spans="1:22" ht="15.75" customHeight="1" x14ac:dyDescent="0.25">
      <c r="A29" s="13"/>
      <c r="B29" s="15"/>
      <c r="C29" s="15"/>
      <c r="D29" s="15"/>
      <c r="E29" s="15"/>
      <c r="F29" s="15"/>
      <c r="G29" s="15"/>
    </row>
    <row r="30" spans="1:22" ht="15.75" customHeight="1" x14ac:dyDescent="0.25">
      <c r="B30" s="15"/>
      <c r="C30" s="15"/>
      <c r="D30" s="15"/>
      <c r="E30" s="15"/>
      <c r="F30" s="15"/>
      <c r="G30" s="15"/>
    </row>
    <row r="31" spans="1:22" ht="38.4" customHeight="1" x14ac:dyDescent="0.25">
      <c r="B31" s="15"/>
      <c r="C31" s="15"/>
      <c r="D31" s="15"/>
      <c r="E31" s="15"/>
      <c r="F31" s="15"/>
      <c r="G31" s="15"/>
    </row>
    <row r="32" spans="1:2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mergeCells count="1">
    <mergeCell ref="B28:G31"/>
  </mergeCells>
  <phoneticPr fontId="14" type="noConversion"/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1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PC-PR</cp:lastModifiedBy>
  <dcterms:created xsi:type="dcterms:W3CDTF">2023-06-05T13:12:31Z</dcterms:created>
  <dcterms:modified xsi:type="dcterms:W3CDTF">2026-01-22T17:25:33Z</dcterms:modified>
</cp:coreProperties>
</file>