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C-PR\Desktop\27835_G3_ADS\Biblioteca Maestra\1. ELICITACION\1.6 Backlog\"/>
    </mc:Choice>
  </mc:AlternateContent>
  <xr:revisionPtr revIDLastSave="0" documentId="13_ncr:1_{F93C190E-18CE-4E54-9B4C-797CC6271BE9}" xr6:coauthVersionLast="47" xr6:coauthVersionMax="47" xr10:uidLastSave="{00000000-0000-0000-0000-000000000000}"/>
  <bookViews>
    <workbookView xWindow="-108" yWindow="-108" windowWidth="23256" windowHeight="12456" activeTab="2" xr2:uid="{5499CB88-B433-403D-B677-0BF56CAA3AB0}"/>
  </bookViews>
  <sheets>
    <sheet name="Backlog" sheetId="1" r:id="rId1"/>
    <sheet name="Burdonchart" sheetId="2" r:id="rId2"/>
    <sheet name="Sprint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6" i="2" l="1"/>
  <c r="C26" i="2" s="1"/>
  <c r="D26" i="2" s="1"/>
  <c r="E26" i="2" s="1"/>
  <c r="F26" i="2" s="1"/>
  <c r="G26" i="2" s="1"/>
  <c r="H26" i="2" s="1"/>
  <c r="I26" i="2" s="1"/>
  <c r="J26" i="2" s="1"/>
  <c r="K26" i="2" s="1"/>
  <c r="L26" i="2" s="1"/>
  <c r="M26" i="2" s="1"/>
  <c r="N26" i="2" s="1"/>
  <c r="O26" i="2" s="1"/>
  <c r="P26" i="2" s="1"/>
  <c r="Q26" i="2" s="1"/>
  <c r="R26" i="2" s="1"/>
  <c r="S26" i="2" s="1"/>
  <c r="T26" i="2" s="1"/>
  <c r="U26" i="2" s="1"/>
  <c r="V26" i="2" s="1"/>
  <c r="B25" i="2"/>
  <c r="C25" i="2" l="1"/>
  <c r="D25" i="2" s="1"/>
  <c r="E25" i="2" s="1"/>
  <c r="F25" i="2" s="1"/>
  <c r="G25" i="2" s="1"/>
  <c r="H25" i="2" s="1"/>
  <c r="I25" i="2" s="1"/>
  <c r="J25" i="2" s="1"/>
  <c r="K25" i="2" s="1"/>
  <c r="L25" i="2" s="1"/>
  <c r="M25" i="2" s="1"/>
  <c r="N25" i="2" s="1"/>
  <c r="O25" i="2" s="1"/>
  <c r="P25" i="2" s="1"/>
  <c r="Q25" i="2" s="1"/>
  <c r="R25" i="2" s="1"/>
  <c r="S25" i="2" s="1"/>
  <c r="T25" i="2" s="1"/>
  <c r="U25" i="2" s="1"/>
  <c r="V25" i="2" s="1"/>
</calcChain>
</file>

<file path=xl/sharedStrings.xml><?xml version="1.0" encoding="utf-8"?>
<sst xmlns="http://schemas.openxmlformats.org/spreadsheetml/2006/main" count="492" uniqueCount="272">
  <si>
    <t>ID</t>
  </si>
  <si>
    <t>Tema</t>
  </si>
  <si>
    <t>Como un..</t>
  </si>
  <si>
    <t>Necesito</t>
  </si>
  <si>
    <t>así podre...</t>
  </si>
  <si>
    <t>Encargado</t>
  </si>
  <si>
    <t>Prioridad</t>
  </si>
  <si>
    <t>Status</t>
  </si>
  <si>
    <t>RF001</t>
  </si>
  <si>
    <t>Gestionar acceso al sistema</t>
  </si>
  <si>
    <t>Usuario</t>
  </si>
  <si>
    <t>Acceder al sistema con credenciales seguras</t>
  </si>
  <si>
    <t>Usar el sistema según mi rol asignado</t>
  </si>
  <si>
    <t>Simone Medina</t>
  </si>
  <si>
    <t>Alta</t>
  </si>
  <si>
    <t>RF001.1</t>
  </si>
  <si>
    <t>Registrar cliente</t>
  </si>
  <si>
    <t>Cliente</t>
  </si>
  <si>
    <t>Crear una cuenta con mis datos personales</t>
  </si>
  <si>
    <t>Ingresar al sistema por primera vez</t>
  </si>
  <si>
    <t>Fernando Sandoval</t>
  </si>
  <si>
    <t>RF001.1.1</t>
  </si>
  <si>
    <t>Validar nombre del cliente</t>
  </si>
  <si>
    <t>Sistema</t>
  </si>
  <si>
    <t>Validar que el nombre sea correcto</t>
  </si>
  <si>
    <t>Evitar registros inválidos</t>
  </si>
  <si>
    <t>Zaith Manangón</t>
  </si>
  <si>
    <t>Media</t>
  </si>
  <si>
    <t>RF001.1.2</t>
  </si>
  <si>
    <t>Validar correo del cliente</t>
  </si>
  <si>
    <t>Validar formato y unicidad del correo</t>
  </si>
  <si>
    <t>Evitar duplicidad de usuarios</t>
  </si>
  <si>
    <t>Oswaldo Tipán</t>
  </si>
  <si>
    <t>RF001.1.3</t>
  </si>
  <si>
    <t>Validar contraseña</t>
  </si>
  <si>
    <t>Verificar seguridad de la contraseña</t>
  </si>
  <si>
    <t>Proteger la información del usuario</t>
  </si>
  <si>
    <t>RF001.2</t>
  </si>
  <si>
    <t>Registrar nuevo asistente</t>
  </si>
  <si>
    <t>Gerente</t>
  </si>
  <si>
    <t>Registrar asistentes del sistema</t>
  </si>
  <si>
    <t>Delegar funciones operativas</t>
  </si>
  <si>
    <t>RF001.2.1</t>
  </si>
  <si>
    <t>Validar datos del asistente</t>
  </si>
  <si>
    <t>Verificar datos ingresados</t>
  </si>
  <si>
    <t>Garantizar información válida</t>
  </si>
  <si>
    <t>RF001.3</t>
  </si>
  <si>
    <t>Iniciar sesión</t>
  </si>
  <si>
    <t>Ingresar con correo y contraseña</t>
  </si>
  <si>
    <t>Acceder a mi entorno del sistema</t>
  </si>
  <si>
    <t>RF001.4</t>
  </si>
  <si>
    <t>Recuperar contraseña</t>
  </si>
  <si>
    <t>Restablecer mi contraseña</t>
  </si>
  <si>
    <t>Recuperar el acceso al sistema</t>
  </si>
  <si>
    <t>RF001.5</t>
  </si>
  <si>
    <t>Cerrar sesión</t>
  </si>
  <si>
    <t>Cerrar mi sesión</t>
  </si>
  <si>
    <t>Salir del sistema de forma segura</t>
  </si>
  <si>
    <t>RF001.6</t>
  </si>
  <si>
    <t>Acceder al dashboard</t>
  </si>
  <si>
    <t>Ver una pantalla inicial</t>
  </si>
  <si>
    <t>Acceder rápido a funciones principales</t>
  </si>
  <si>
    <t>REALIZADO</t>
  </si>
  <si>
    <t>Horas Estimadas</t>
  </si>
  <si>
    <t>REQUERIMIENTO</t>
  </si>
  <si>
    <t>Estimado</t>
  </si>
  <si>
    <t>Día 20</t>
  </si>
  <si>
    <t>Día 19</t>
  </si>
  <si>
    <t>Día 18</t>
  </si>
  <si>
    <t>Día 17</t>
  </si>
  <si>
    <t>Día 16</t>
  </si>
  <si>
    <t>Día 15</t>
  </si>
  <si>
    <t>Día 14</t>
  </si>
  <si>
    <t>Día 13</t>
  </si>
  <si>
    <t>Día 12</t>
  </si>
  <si>
    <t>Día 11</t>
  </si>
  <si>
    <t>Día 10</t>
  </si>
  <si>
    <t>Día 9</t>
  </si>
  <si>
    <t>Día 8</t>
  </si>
  <si>
    <t>Día 7</t>
  </si>
  <si>
    <t>Día 6</t>
  </si>
  <si>
    <t>Día 5</t>
  </si>
  <si>
    <t>Día 4</t>
  </si>
  <si>
    <t>Día 3</t>
  </si>
  <si>
    <t>Día 2</t>
  </si>
  <si>
    <t>Día 1</t>
  </si>
  <si>
    <t>Total de Horas</t>
  </si>
  <si>
    <t>REQ001-1</t>
  </si>
  <si>
    <t>REQ001-2</t>
  </si>
  <si>
    <t>REQ001-3</t>
  </si>
  <si>
    <t>REQ001-4</t>
  </si>
  <si>
    <t>REQ002-1</t>
  </si>
  <si>
    <t>RF002</t>
  </si>
  <si>
    <t>Gestionar perfil de usuario</t>
  </si>
  <si>
    <t>Actualizar mis datos personales</t>
  </si>
  <si>
    <t>Mantener mi información actualizada</t>
  </si>
  <si>
    <t>RF005</t>
  </si>
  <si>
    <t>Gestionar usuarios</t>
  </si>
  <si>
    <t>Administrar usuarios del sistema</t>
  </si>
  <si>
    <t>Controlar accesos y permisos</t>
  </si>
  <si>
    <t>RF005.1</t>
  </si>
  <si>
    <t>Listar usuarios</t>
  </si>
  <si>
    <t>Ver todos los usuarios</t>
  </si>
  <si>
    <t>Administrar cuentas existentes</t>
  </si>
  <si>
    <t>RF005.2</t>
  </si>
  <si>
    <t>Desactivar usuario</t>
  </si>
  <si>
    <t>Inhabilitar cuentas</t>
  </si>
  <si>
    <t>Evitar accesos no autorizados</t>
  </si>
  <si>
    <t>RF006</t>
  </si>
  <si>
    <t>Gestionar créditos</t>
  </si>
  <si>
    <t>Solicitar y consultar créditos</t>
  </si>
  <si>
    <t>Acceder a servicios financieros</t>
  </si>
  <si>
    <t>RF006.1</t>
  </si>
  <si>
    <t>Solicitar crédito</t>
  </si>
  <si>
    <t>Registrar solicitud de crédito</t>
  </si>
  <si>
    <t>Iniciar proceso de aprobación</t>
  </si>
  <si>
    <t>RF006.2</t>
  </si>
  <si>
    <t>Consultar estado de crédito</t>
  </si>
  <si>
    <t>Ver estado de mi crédito</t>
  </si>
  <si>
    <t>Conocer avance de aprobación</t>
  </si>
  <si>
    <t>RF006.3</t>
  </si>
  <si>
    <t>Aprobar crédito</t>
  </si>
  <si>
    <t>Autorizar créditos solicitados</t>
  </si>
  <si>
    <t>Controlar riesgos financieros</t>
  </si>
  <si>
    <t>RF007</t>
  </si>
  <si>
    <t>Gestionar pagos</t>
  </si>
  <si>
    <t>Registrar pagos de mis créditos</t>
  </si>
  <si>
    <t>Cumplir con mis obligaciones</t>
  </si>
  <si>
    <t>RF008</t>
  </si>
  <si>
    <t>Gestionar contenidos</t>
  </si>
  <si>
    <t>Asistente</t>
  </si>
  <si>
    <t>Administrar contenidos del sistema</t>
  </si>
  <si>
    <t>Mantener información actualizada</t>
  </si>
  <si>
    <t>RF009</t>
  </si>
  <si>
    <t>Generar reportes</t>
  </si>
  <si>
    <t>Obtener reportes del sistema</t>
  </si>
  <si>
    <t>Analizar información clave</t>
  </si>
  <si>
    <t>RF009.1</t>
  </si>
  <si>
    <t>Generar reporte de usuarios</t>
  </si>
  <si>
    <t>Ver estadísticas de usuarios</t>
  </si>
  <si>
    <t>Evaluar uso del sistema</t>
  </si>
  <si>
    <t>RF009.2</t>
  </si>
  <si>
    <t>Generar reporte de créditos</t>
  </si>
  <si>
    <t>Consultar créditos otorgados</t>
  </si>
  <si>
    <t>Controlar cartera</t>
  </si>
  <si>
    <t>RF010</t>
  </si>
  <si>
    <t>Gestionar notificaciones</t>
  </si>
  <si>
    <t>Recibir alertas del sistema</t>
  </si>
  <si>
    <t>Estar informado de eventos importantes</t>
  </si>
  <si>
    <t>RF012</t>
  </si>
  <si>
    <t>Registrar auditoría</t>
  </si>
  <si>
    <t>Guardar eventos importantes</t>
  </si>
  <si>
    <t>Mantener trazabilidad</t>
  </si>
  <si>
    <t>REQ002-2</t>
  </si>
  <si>
    <t>REQ005-1</t>
  </si>
  <si>
    <t>REQ005-2</t>
  </si>
  <si>
    <t>REQ006-1</t>
  </si>
  <si>
    <t>REQ006-2</t>
  </si>
  <si>
    <t>REQ006-3</t>
  </si>
  <si>
    <t>REQ007-1</t>
  </si>
  <si>
    <t>REQ007-2</t>
  </si>
  <si>
    <t>REQ008-1</t>
  </si>
  <si>
    <t>REQ008-2</t>
  </si>
  <si>
    <t>REQ009-1</t>
  </si>
  <si>
    <t>REQ009-2</t>
  </si>
  <si>
    <t>REQ010-1</t>
  </si>
  <si>
    <t>REQ010-2</t>
  </si>
  <si>
    <t>REQ012-1</t>
  </si>
  <si>
    <t>REQ012-2</t>
  </si>
  <si>
    <t>REQ013-1</t>
  </si>
  <si>
    <t>REQ013-2</t>
  </si>
  <si>
    <t>Horas Estimadas
Restantes</t>
  </si>
  <si>
    <t>Finalizado</t>
  </si>
  <si>
    <t>Contar con respaldo formal de transacciones realizadas</t>
  </si>
  <si>
    <t>Generar documento PDF con información de mis pagos</t>
  </si>
  <si>
    <t>Descarga de Certificados de Pago</t>
  </si>
  <si>
    <t>RF5.5</t>
  </si>
  <si>
    <t>Habilitar compras a crédito según la política de la empresa, permitiendo que clientes de forma segura en la plataforma.</t>
  </si>
  <si>
    <t>Asignar crédito y cambiar estado del cliente</t>
  </si>
  <si>
    <t>Otorgamiento de Crédito a Cliente</t>
  </si>
  <si>
    <t>RF7.2</t>
  </si>
  <si>
    <t>Conocer el estado de la deuda de forma inmediata para proceder antes de que se generen más intereses o reportes negativos.</t>
  </si>
  <si>
    <t>Recibir alerta sobre obligaciones no cumplidas</t>
  </si>
  <si>
    <t>Notificación de Deuda Vencida</t>
  </si>
  <si>
    <t>RF8.3</t>
  </si>
  <si>
    <t>Oswaldo Tipan</t>
  </si>
  <si>
    <t>Recordar obligaciones financieras y facilitar el cumplimiento oportuno del cronograma.</t>
  </si>
  <si>
    <t>Recibir alerta con anticipación sobre fechas de pago</t>
  </si>
  <si>
    <t>Carga y Registro de Comprobantes</t>
  </si>
  <si>
    <t>RF8.2</t>
  </si>
  <si>
    <t>Prevenir incumplimientos accidentales de último minuto y mantenerme informado sobre el cierre inminente de mi periodo de pago sin recargos.</t>
  </si>
  <si>
    <t>Recibir alerta cuando se aproxima la fecha crítica</t>
  </si>
  <si>
    <t>Alerta de Vencimiento Crítico</t>
  </si>
  <si>
    <t>RF8.1</t>
  </si>
  <si>
    <t>Tiempo (Estimado en Hrs)</t>
  </si>
  <si>
    <t>Estado</t>
  </si>
  <si>
    <t>Notas</t>
  </si>
  <si>
    <t>Así podré...</t>
  </si>
  <si>
    <t>SPRINT 4</t>
  </si>
  <si>
    <t>Identificar rápidamente a las personas con retrasos para iniciar gestiones de cobranza preventiva y evitar pérdidas.</t>
  </si>
  <si>
    <t>Listar clientes vencidos</t>
  </si>
  <si>
    <t>Lista de Morosos</t>
  </si>
  <si>
    <t>RF6.3</t>
  </si>
  <si>
    <t>Brindar soporte detallado ante reclamos, verificando fechas y montos de depósitos previos para resolver dudas de cobro.</t>
  </si>
  <si>
    <t>Ver todos los pagos de un cliente</t>
  </si>
  <si>
    <t>Historial de Pagos</t>
  </si>
  <si>
    <t>RF6.5</t>
  </si>
  <si>
    <t>Analizar el flujo de caja mensual y tomar decisiones financieras basadas en la liquidez real obtenida por cobranzas</t>
  </si>
  <si>
    <t>Ver pagos por fechas</t>
  </si>
  <si>
    <t>Reporte de Pagos</t>
  </si>
  <si>
    <t>RF6.2</t>
  </si>
  <si>
    <t>Hacer seguimiento de mi cumplimiento financiero</t>
  </si>
  <si>
    <t>Ver cuotas pagadas, pendientes y monto restante</t>
  </si>
  <si>
    <t>Seguimiento de Saldo y Cuotas</t>
  </si>
  <si>
    <t>RF5.4</t>
  </si>
  <si>
    <t>Mantenerme informado sobre mi obligación financiera</t>
  </si>
  <si>
    <t>Visualizar términos, interés, cuotas y cronograma</t>
  </si>
  <si>
    <t>Visualización de Condiciones del Crédito</t>
  </si>
  <si>
    <t>RF5.3</t>
  </si>
  <si>
    <t>Facilitar el cumplimiento de mis obligaciones desde cualquier lugar</t>
  </si>
  <si>
    <t>Procesar pago de cuota mediante pasarela de pago</t>
  </si>
  <si>
    <t>Pago de Cuotas en Línea</t>
  </si>
  <si>
    <t>RF5.2</t>
  </si>
  <si>
    <t>Habilitar compras a crédito según política de la empresa</t>
  </si>
  <si>
    <t>RF5.1</t>
  </si>
  <si>
    <t>Actualizar el saldo real del cliente y emitir la conformidad del pago para que la deuda disminuya legalmente.</t>
  </si>
  <si>
    <t>Validar el pago y aplicarlo</t>
  </si>
  <si>
    <t>Abono a Crédito Activo</t>
  </si>
  <si>
    <t>RF3</t>
  </si>
  <si>
    <t>SPRINT 3</t>
  </si>
  <si>
    <t>Brindar atención rápida y gestionar pagos</t>
  </si>
  <si>
    <t>Buscar datos de contacto por nombre o RUC</t>
  </si>
  <si>
    <t>Búsqueda Rápida</t>
  </si>
  <si>
    <t>RF6.4</t>
  </si>
  <si>
    <t>Tener una visión integral de mi situación financiera</t>
  </si>
  <si>
    <t>Visualizar créditos, pagos y cuotas</t>
  </si>
  <si>
    <t>Vista Global de Estado de Cuenta</t>
  </si>
  <si>
    <t>RF7</t>
  </si>
  <si>
    <t>Mantener un registro digital de pagos realizados</t>
  </si>
  <si>
    <t>Ingresar datos de depósito y adjuntar archivo</t>
  </si>
  <si>
    <t>RF2</t>
  </si>
  <si>
    <t>Sincronizar información de deudas externas rápidamente</t>
  </si>
  <si>
    <t>Cargar archivos CSV/XLSX con datos de facturación</t>
  </si>
  <si>
    <t>Importación Masiva</t>
  </si>
  <si>
    <t>RF4</t>
  </si>
  <si>
    <t>SPRINT 2</t>
  </si>
  <si>
    <t>Acceder rápidamente a funcionalidades principales y datos relevantes</t>
  </si>
  <si>
    <t>Visualizar un dashboard personalizado según mi rol</t>
  </si>
  <si>
    <t>Cliente, Asistente, Gerente</t>
  </si>
  <si>
    <t>Dashboard Personalizado</t>
  </si>
  <si>
    <t>RF1.6</t>
  </si>
  <si>
    <t>Prevenir accesos no autorizados después de mi uso</t>
  </si>
  <si>
    <t>Cerrar mi sesión de forma segura</t>
  </si>
  <si>
    <t>Cierre Seguro de Sesión</t>
  </si>
  <si>
    <t>RF1.5</t>
  </si>
  <si>
    <t>Restablecer mi contraseña de forma segura cuando la olvide</t>
  </si>
  <si>
    <t>Recuperar mi acceso mediante verificación por correo</t>
  </si>
  <si>
    <t>Recuperación de Contraseña</t>
  </si>
  <si>
    <t>RF1.4</t>
  </si>
  <si>
    <t>Tener acceso seguro y diferenciado según mi tipo de usuario</t>
  </si>
  <si>
    <t>Acceder al sistema según mi rol con mis credenciales</t>
  </si>
  <si>
    <t>Inicio de Sesión Multirole</t>
  </si>
  <si>
    <t>RF1.3</t>
  </si>
  <si>
    <t>Gestionar el personal que ayudará en operaciones administrativas</t>
  </si>
  <si>
    <t>Registrar nuevos asistentes administrativos desde mi panel</t>
  </si>
  <si>
    <t>Gestión de Cuentas de Asistente</t>
  </si>
  <si>
    <t>RF1.2</t>
  </si>
  <si>
    <t>Acceder al sistema y gestionar mis comprobantes de pago</t>
  </si>
  <si>
    <t>Crear mi cuenta en el sistema con nombre, correo y contraseña</t>
  </si>
  <si>
    <t>Registro de Cuenta de Cliente</t>
  </si>
  <si>
    <t>RF1.1</t>
  </si>
  <si>
    <t>SPRINT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</si>
</sst>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2F5496"/>
      <name val="Arial"/>
      <family val="2"/>
    </font>
    <font>
      <b/>
      <sz val="1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9900"/>
        <bgColor rgb="FFFF9900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0" fontId="2" fillId="0" borderId="0"/>
  </cellStyleXfs>
  <cellXfs count="28">
    <xf numFmtId="0" fontId="0" fillId="0" borderId="0" xfId="0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" fillId="0" borderId="0" xfId="0" applyFont="1"/>
    <xf numFmtId="0" fontId="1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0" borderId="0" xfId="1"/>
    <xf numFmtId="0" fontId="3" fillId="4" borderId="2" xfId="1" applyFont="1" applyFill="1" applyBorder="1"/>
    <xf numFmtId="0" fontId="4" fillId="0" borderId="0" xfId="1" applyFont="1"/>
    <xf numFmtId="0" fontId="3" fillId="4" borderId="5" xfId="1" applyFont="1" applyFill="1" applyBorder="1"/>
    <xf numFmtId="0" fontId="0" fillId="3" borderId="1" xfId="0" applyFill="1" applyBorder="1" applyAlignment="1">
      <alignment horizontal="center"/>
    </xf>
    <xf numFmtId="0" fontId="3" fillId="5" borderId="6" xfId="1" applyFont="1" applyFill="1" applyBorder="1"/>
    <xf numFmtId="0" fontId="3" fillId="5" borderId="1" xfId="1" applyFont="1" applyFill="1" applyBorder="1"/>
    <xf numFmtId="0" fontId="3" fillId="5" borderId="3" xfId="1" applyFont="1" applyFill="1" applyBorder="1"/>
    <xf numFmtId="0" fontId="0" fillId="6" borderId="1" xfId="0" applyFill="1" applyBorder="1" applyAlignment="1">
      <alignment horizontal="center"/>
    </xf>
    <xf numFmtId="0" fontId="6" fillId="0" borderId="4" xfId="1" applyFont="1" applyBorder="1" applyAlignment="1">
      <alignment vertical="top" wrapText="1"/>
    </xf>
    <xf numFmtId="0" fontId="6" fillId="0" borderId="4" xfId="1" applyFont="1" applyBorder="1" applyAlignment="1">
      <alignment wrapText="1"/>
    </xf>
    <xf numFmtId="0" fontId="7" fillId="0" borderId="4" xfId="1" applyFont="1" applyBorder="1" applyAlignment="1">
      <alignment vertical="top" wrapText="1"/>
    </xf>
    <xf numFmtId="0" fontId="5" fillId="0" borderId="4" xfId="1" applyFont="1" applyBorder="1" applyAlignment="1">
      <alignment horizontal="center" vertical="center" wrapText="1"/>
    </xf>
    <xf numFmtId="0" fontId="8" fillId="0" borderId="0" xfId="1" applyFont="1" applyAlignment="1">
      <alignment vertical="center"/>
    </xf>
    <xf numFmtId="0" fontId="7" fillId="0" borderId="4" xfId="1" applyFont="1" applyBorder="1" applyAlignment="1">
      <alignment wrapText="1"/>
    </xf>
    <xf numFmtId="0" fontId="6" fillId="0" borderId="0" xfId="1" applyFont="1" applyAlignment="1">
      <alignment vertical="top" wrapText="1"/>
    </xf>
    <xf numFmtId="0" fontId="7" fillId="0" borderId="0" xfId="1" applyFont="1" applyAlignment="1">
      <alignment vertical="top" wrapText="1"/>
    </xf>
    <xf numFmtId="0" fontId="6" fillId="0" borderId="7" xfId="1" applyFont="1" applyBorder="1" applyAlignment="1">
      <alignment vertical="top" wrapText="1"/>
    </xf>
    <xf numFmtId="0" fontId="7" fillId="0" borderId="7" xfId="1" applyFont="1" applyBorder="1" applyAlignment="1">
      <alignment vertical="top" wrapText="1"/>
    </xf>
    <xf numFmtId="0" fontId="6" fillId="0" borderId="8" xfId="1" applyFont="1" applyBorder="1" applyAlignment="1">
      <alignment vertical="top" wrapText="1"/>
    </xf>
    <xf numFmtId="0" fontId="7" fillId="0" borderId="8" xfId="1" applyFont="1" applyBorder="1" applyAlignment="1">
      <alignment vertical="top" wrapText="1"/>
    </xf>
    <xf numFmtId="0" fontId="7" fillId="0" borderId="0" xfId="1" applyFont="1"/>
  </cellXfs>
  <cellStyles count="2">
    <cellStyle name="Normal" xfId="0" builtinId="0"/>
    <cellStyle name="Normal 2" xfId="1" xr:uid="{99EBE0EF-A479-4C95-AD1F-A4537E45A36E}"/>
  </cellStyles>
  <dxfs count="3"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1" defaultTableStyle="TableStyleMedium2" defaultPivotStyle="PivotStyleLight16">
    <tableStyle name="burdonchart-style" pivot="0" count="3" xr9:uid="{506C7CB1-F4BD-4EB1-992B-3ABA053A9C1D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Burdonchart!$B$25:$V$25</c:f>
              <c:numCache>
                <c:formatCode>General</c:formatCode>
                <c:ptCount val="21"/>
                <c:pt idx="0">
                  <c:v>82</c:v>
                </c:pt>
                <c:pt idx="1">
                  <c:v>82</c:v>
                </c:pt>
                <c:pt idx="2">
                  <c:v>81</c:v>
                </c:pt>
                <c:pt idx="3">
                  <c:v>79</c:v>
                </c:pt>
                <c:pt idx="4">
                  <c:v>77</c:v>
                </c:pt>
                <c:pt idx="5">
                  <c:v>72</c:v>
                </c:pt>
                <c:pt idx="6">
                  <c:v>67</c:v>
                </c:pt>
                <c:pt idx="7">
                  <c:v>61</c:v>
                </c:pt>
                <c:pt idx="8">
                  <c:v>54</c:v>
                </c:pt>
                <c:pt idx="9">
                  <c:v>46</c:v>
                </c:pt>
                <c:pt idx="10">
                  <c:v>40</c:v>
                </c:pt>
                <c:pt idx="11">
                  <c:v>32</c:v>
                </c:pt>
                <c:pt idx="12">
                  <c:v>24</c:v>
                </c:pt>
                <c:pt idx="13">
                  <c:v>17</c:v>
                </c:pt>
                <c:pt idx="14">
                  <c:v>11</c:v>
                </c:pt>
                <c:pt idx="15">
                  <c:v>5</c:v>
                </c:pt>
                <c:pt idx="16">
                  <c:v>2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04-4532-A35D-603B8782609B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Burdonchart!$B$26:$V$26</c:f>
              <c:numCache>
                <c:formatCode>General</c:formatCode>
                <c:ptCount val="21"/>
                <c:pt idx="0">
                  <c:v>82</c:v>
                </c:pt>
                <c:pt idx="1">
                  <c:v>77.900000000000006</c:v>
                </c:pt>
                <c:pt idx="2">
                  <c:v>73.800000000000011</c:v>
                </c:pt>
                <c:pt idx="3">
                  <c:v>69.700000000000017</c:v>
                </c:pt>
                <c:pt idx="4">
                  <c:v>65.600000000000023</c:v>
                </c:pt>
                <c:pt idx="5">
                  <c:v>61.500000000000021</c:v>
                </c:pt>
                <c:pt idx="6">
                  <c:v>57.40000000000002</c:v>
                </c:pt>
                <c:pt idx="7">
                  <c:v>53.300000000000018</c:v>
                </c:pt>
                <c:pt idx="8">
                  <c:v>49.200000000000017</c:v>
                </c:pt>
                <c:pt idx="9">
                  <c:v>45.100000000000016</c:v>
                </c:pt>
                <c:pt idx="10">
                  <c:v>41.000000000000014</c:v>
                </c:pt>
                <c:pt idx="11">
                  <c:v>36.900000000000013</c:v>
                </c:pt>
                <c:pt idx="12">
                  <c:v>32.800000000000011</c:v>
                </c:pt>
                <c:pt idx="13">
                  <c:v>28.70000000000001</c:v>
                </c:pt>
                <c:pt idx="14">
                  <c:v>24.600000000000009</c:v>
                </c:pt>
                <c:pt idx="15">
                  <c:v>20.500000000000007</c:v>
                </c:pt>
                <c:pt idx="16">
                  <c:v>16.400000000000006</c:v>
                </c:pt>
                <c:pt idx="17">
                  <c:v>12.300000000000006</c:v>
                </c:pt>
                <c:pt idx="18">
                  <c:v>8.2000000000000064</c:v>
                </c:pt>
                <c:pt idx="19">
                  <c:v>4.1000000000000068</c:v>
                </c:pt>
                <c:pt idx="20">
                  <c:v>7.1054273576010019E-15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404-4532-A35D-603B878260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2325152"/>
        <c:axId val="472325632"/>
      </c:lineChart>
      <c:catAx>
        <c:axId val="4723251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472325632"/>
        <c:crosses val="autoZero"/>
        <c:auto val="1"/>
        <c:lblAlgn val="ctr"/>
        <c:lblOffset val="100"/>
        <c:noMultiLvlLbl val="0"/>
      </c:catAx>
      <c:valAx>
        <c:axId val="472325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472325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142875</xdr:colOff>
      <xdr:row>37</xdr:row>
      <xdr:rowOff>28575</xdr:rowOff>
    </xdr:from>
    <xdr:to>
      <xdr:col>10</xdr:col>
      <xdr:colOff>714375</xdr:colOff>
      <xdr:row>51</xdr:row>
      <xdr:rowOff>104775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5B88093-8F50-D571-E8E3-83DA3AED5D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292DA-31EC-495D-BB70-15F9A910D4EC}">
  <dimension ref="A2:H28"/>
  <sheetViews>
    <sheetView workbookViewId="0">
      <selection activeCell="F3" sqref="F3"/>
    </sheetView>
  </sheetViews>
  <sheetFormatPr baseColWidth="10" defaultRowHeight="14.4" x14ac:dyDescent="0.3"/>
  <cols>
    <col min="2" max="2" width="30.109375" customWidth="1"/>
    <col min="3" max="3" width="11.6640625" customWidth="1"/>
    <col min="4" max="4" width="39.109375" customWidth="1"/>
    <col min="5" max="5" width="32.21875" customWidth="1"/>
    <col min="6" max="6" width="18.6640625" customWidth="1"/>
  </cols>
  <sheetData>
    <row r="2" spans="1:8" s="3" customFormat="1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</row>
    <row r="3" spans="1:8" x14ac:dyDescent="0.3">
      <c r="A3" s="1" t="s">
        <v>8</v>
      </c>
      <c r="B3" s="1" t="s">
        <v>9</v>
      </c>
      <c r="C3" s="1" t="s">
        <v>10</v>
      </c>
      <c r="D3" s="1" t="s">
        <v>11</v>
      </c>
      <c r="E3" s="1" t="s">
        <v>12</v>
      </c>
      <c r="F3" s="1" t="s">
        <v>13</v>
      </c>
      <c r="G3" s="1" t="s">
        <v>14</v>
      </c>
      <c r="H3" s="2" t="s">
        <v>62</v>
      </c>
    </row>
    <row r="4" spans="1:8" x14ac:dyDescent="0.3">
      <c r="A4" s="1" t="s">
        <v>15</v>
      </c>
      <c r="B4" s="1" t="s">
        <v>16</v>
      </c>
      <c r="C4" s="1" t="s">
        <v>17</v>
      </c>
      <c r="D4" s="1" t="s">
        <v>18</v>
      </c>
      <c r="E4" s="1" t="s">
        <v>19</v>
      </c>
      <c r="F4" s="1" t="s">
        <v>20</v>
      </c>
      <c r="G4" s="1" t="s">
        <v>14</v>
      </c>
      <c r="H4" s="2" t="s">
        <v>62</v>
      </c>
    </row>
    <row r="5" spans="1:8" x14ac:dyDescent="0.3">
      <c r="A5" s="1" t="s">
        <v>21</v>
      </c>
      <c r="B5" s="1" t="s">
        <v>22</v>
      </c>
      <c r="C5" s="1" t="s">
        <v>23</v>
      </c>
      <c r="D5" s="1" t="s">
        <v>24</v>
      </c>
      <c r="E5" s="1" t="s">
        <v>25</v>
      </c>
      <c r="F5" s="1" t="s">
        <v>26</v>
      </c>
      <c r="G5" s="1" t="s">
        <v>27</v>
      </c>
      <c r="H5" s="2" t="s">
        <v>62</v>
      </c>
    </row>
    <row r="6" spans="1:8" x14ac:dyDescent="0.3">
      <c r="A6" s="1" t="s">
        <v>28</v>
      </c>
      <c r="B6" s="1" t="s">
        <v>29</v>
      </c>
      <c r="C6" s="1" t="s">
        <v>23</v>
      </c>
      <c r="D6" s="1" t="s">
        <v>30</v>
      </c>
      <c r="E6" s="1" t="s">
        <v>31</v>
      </c>
      <c r="F6" s="1" t="s">
        <v>32</v>
      </c>
      <c r="G6" s="1" t="s">
        <v>14</v>
      </c>
      <c r="H6" s="2" t="s">
        <v>62</v>
      </c>
    </row>
    <row r="7" spans="1:8" x14ac:dyDescent="0.3">
      <c r="A7" s="1" t="s">
        <v>33</v>
      </c>
      <c r="B7" s="1" t="s">
        <v>34</v>
      </c>
      <c r="C7" s="1" t="s">
        <v>23</v>
      </c>
      <c r="D7" s="1" t="s">
        <v>35</v>
      </c>
      <c r="E7" s="1" t="s">
        <v>36</v>
      </c>
      <c r="F7" s="1" t="s">
        <v>13</v>
      </c>
      <c r="G7" s="1" t="s">
        <v>14</v>
      </c>
      <c r="H7" s="2" t="s">
        <v>62</v>
      </c>
    </row>
    <row r="8" spans="1:8" x14ac:dyDescent="0.3">
      <c r="A8" s="1" t="s">
        <v>37</v>
      </c>
      <c r="B8" s="1" t="s">
        <v>38</v>
      </c>
      <c r="C8" s="1" t="s">
        <v>39</v>
      </c>
      <c r="D8" s="1" t="s">
        <v>40</v>
      </c>
      <c r="E8" s="1" t="s">
        <v>41</v>
      </c>
      <c r="F8" s="1" t="s">
        <v>20</v>
      </c>
      <c r="G8" s="1" t="s">
        <v>14</v>
      </c>
      <c r="H8" s="2" t="s">
        <v>62</v>
      </c>
    </row>
    <row r="9" spans="1:8" x14ac:dyDescent="0.3">
      <c r="A9" s="1" t="s">
        <v>42</v>
      </c>
      <c r="B9" s="1" t="s">
        <v>43</v>
      </c>
      <c r="C9" s="1" t="s">
        <v>23</v>
      </c>
      <c r="D9" s="1" t="s">
        <v>44</v>
      </c>
      <c r="E9" s="1" t="s">
        <v>45</v>
      </c>
      <c r="F9" s="1" t="s">
        <v>26</v>
      </c>
      <c r="G9" s="1" t="s">
        <v>27</v>
      </c>
      <c r="H9" s="2" t="s">
        <v>62</v>
      </c>
    </row>
    <row r="10" spans="1:8" x14ac:dyDescent="0.3">
      <c r="A10" s="1" t="s">
        <v>46</v>
      </c>
      <c r="B10" s="1" t="s">
        <v>47</v>
      </c>
      <c r="C10" s="1" t="s">
        <v>10</v>
      </c>
      <c r="D10" s="1" t="s">
        <v>48</v>
      </c>
      <c r="E10" s="1" t="s">
        <v>49</v>
      </c>
      <c r="F10" s="1" t="s">
        <v>32</v>
      </c>
      <c r="G10" s="1" t="s">
        <v>14</v>
      </c>
      <c r="H10" s="2" t="s">
        <v>62</v>
      </c>
    </row>
    <row r="11" spans="1:8" x14ac:dyDescent="0.3">
      <c r="A11" s="1" t="s">
        <v>50</v>
      </c>
      <c r="B11" s="1" t="s">
        <v>51</v>
      </c>
      <c r="C11" s="1" t="s">
        <v>10</v>
      </c>
      <c r="D11" s="1" t="s">
        <v>52</v>
      </c>
      <c r="E11" s="1" t="s">
        <v>53</v>
      </c>
      <c r="F11" s="1" t="s">
        <v>13</v>
      </c>
      <c r="G11" s="1" t="s">
        <v>14</v>
      </c>
      <c r="H11" s="2" t="s">
        <v>62</v>
      </c>
    </row>
    <row r="12" spans="1:8" x14ac:dyDescent="0.3">
      <c r="A12" s="1" t="s">
        <v>54</v>
      </c>
      <c r="B12" s="1" t="s">
        <v>55</v>
      </c>
      <c r="C12" s="1" t="s">
        <v>10</v>
      </c>
      <c r="D12" s="1" t="s">
        <v>56</v>
      </c>
      <c r="E12" s="1" t="s">
        <v>57</v>
      </c>
      <c r="F12" s="1" t="s">
        <v>20</v>
      </c>
      <c r="G12" s="1" t="s">
        <v>27</v>
      </c>
      <c r="H12" s="2" t="s">
        <v>62</v>
      </c>
    </row>
    <row r="13" spans="1:8" x14ac:dyDescent="0.3">
      <c r="A13" s="1" t="s">
        <v>58</v>
      </c>
      <c r="B13" s="1" t="s">
        <v>59</v>
      </c>
      <c r="C13" s="1" t="s">
        <v>10</v>
      </c>
      <c r="D13" s="1" t="s">
        <v>60</v>
      </c>
      <c r="E13" s="1" t="s">
        <v>61</v>
      </c>
      <c r="F13" s="1" t="s">
        <v>26</v>
      </c>
      <c r="G13" s="1" t="s">
        <v>27</v>
      </c>
      <c r="H13" s="2" t="s">
        <v>62</v>
      </c>
    </row>
    <row r="14" spans="1:8" x14ac:dyDescent="0.3">
      <c r="A14" s="5" t="s">
        <v>92</v>
      </c>
      <c r="B14" s="5" t="s">
        <v>93</v>
      </c>
      <c r="C14" s="5" t="s">
        <v>10</v>
      </c>
      <c r="D14" s="5" t="s">
        <v>94</v>
      </c>
      <c r="E14" s="5" t="s">
        <v>95</v>
      </c>
      <c r="F14" s="5" t="s">
        <v>13</v>
      </c>
      <c r="G14" s="5" t="s">
        <v>14</v>
      </c>
      <c r="H14" s="2" t="s">
        <v>62</v>
      </c>
    </row>
    <row r="15" spans="1:8" x14ac:dyDescent="0.3">
      <c r="A15" s="5" t="s">
        <v>96</v>
      </c>
      <c r="B15" s="5" t="s">
        <v>97</v>
      </c>
      <c r="C15" s="5" t="s">
        <v>39</v>
      </c>
      <c r="D15" s="5" t="s">
        <v>98</v>
      </c>
      <c r="E15" s="5" t="s">
        <v>99</v>
      </c>
      <c r="F15" s="5" t="s">
        <v>20</v>
      </c>
      <c r="G15" s="5" t="s">
        <v>14</v>
      </c>
      <c r="H15" s="2" t="s">
        <v>62</v>
      </c>
    </row>
    <row r="16" spans="1:8" x14ac:dyDescent="0.3">
      <c r="A16" s="5" t="s">
        <v>100</v>
      </c>
      <c r="B16" s="5" t="s">
        <v>101</v>
      </c>
      <c r="C16" s="5" t="s">
        <v>39</v>
      </c>
      <c r="D16" s="5" t="s">
        <v>102</v>
      </c>
      <c r="E16" s="5" t="s">
        <v>103</v>
      </c>
      <c r="F16" s="5" t="s">
        <v>32</v>
      </c>
      <c r="G16" s="5" t="s">
        <v>27</v>
      </c>
      <c r="H16" s="2" t="s">
        <v>62</v>
      </c>
    </row>
    <row r="17" spans="1:8" x14ac:dyDescent="0.3">
      <c r="A17" s="5" t="s">
        <v>104</v>
      </c>
      <c r="B17" s="5" t="s">
        <v>105</v>
      </c>
      <c r="C17" s="5" t="s">
        <v>39</v>
      </c>
      <c r="D17" s="5" t="s">
        <v>106</v>
      </c>
      <c r="E17" s="5" t="s">
        <v>107</v>
      </c>
      <c r="F17" s="5" t="s">
        <v>13</v>
      </c>
      <c r="G17" s="5" t="s">
        <v>14</v>
      </c>
      <c r="H17" s="2" t="s">
        <v>62</v>
      </c>
    </row>
    <row r="18" spans="1:8" x14ac:dyDescent="0.3">
      <c r="A18" s="5" t="s">
        <v>108</v>
      </c>
      <c r="B18" s="5" t="s">
        <v>109</v>
      </c>
      <c r="C18" s="5" t="s">
        <v>17</v>
      </c>
      <c r="D18" s="5" t="s">
        <v>110</v>
      </c>
      <c r="E18" s="5" t="s">
        <v>111</v>
      </c>
      <c r="F18" s="5" t="s">
        <v>26</v>
      </c>
      <c r="G18" s="5" t="s">
        <v>14</v>
      </c>
      <c r="H18" s="2" t="s">
        <v>62</v>
      </c>
    </row>
    <row r="19" spans="1:8" x14ac:dyDescent="0.3">
      <c r="A19" s="5" t="s">
        <v>112</v>
      </c>
      <c r="B19" s="5" t="s">
        <v>113</v>
      </c>
      <c r="C19" s="5" t="s">
        <v>17</v>
      </c>
      <c r="D19" s="5" t="s">
        <v>114</v>
      </c>
      <c r="E19" s="5" t="s">
        <v>115</v>
      </c>
      <c r="F19" s="5" t="s">
        <v>20</v>
      </c>
      <c r="G19" s="5" t="s">
        <v>14</v>
      </c>
      <c r="H19" s="2" t="s">
        <v>62</v>
      </c>
    </row>
    <row r="20" spans="1:8" x14ac:dyDescent="0.3">
      <c r="A20" s="5" t="s">
        <v>116</v>
      </c>
      <c r="B20" s="5" t="s">
        <v>117</v>
      </c>
      <c r="C20" s="5" t="s">
        <v>17</v>
      </c>
      <c r="D20" s="5" t="s">
        <v>118</v>
      </c>
      <c r="E20" s="5" t="s">
        <v>119</v>
      </c>
      <c r="F20" s="5" t="s">
        <v>32</v>
      </c>
      <c r="G20" s="5" t="s">
        <v>27</v>
      </c>
      <c r="H20" s="2" t="s">
        <v>62</v>
      </c>
    </row>
    <row r="21" spans="1:8" x14ac:dyDescent="0.3">
      <c r="A21" s="5" t="s">
        <v>120</v>
      </c>
      <c r="B21" s="5" t="s">
        <v>121</v>
      </c>
      <c r="C21" s="5" t="s">
        <v>39</v>
      </c>
      <c r="D21" s="5" t="s">
        <v>122</v>
      </c>
      <c r="E21" s="5" t="s">
        <v>123</v>
      </c>
      <c r="F21" s="5" t="s">
        <v>13</v>
      </c>
      <c r="G21" s="5" t="s">
        <v>14</v>
      </c>
      <c r="H21" s="2" t="s">
        <v>62</v>
      </c>
    </row>
    <row r="22" spans="1:8" x14ac:dyDescent="0.3">
      <c r="A22" s="5" t="s">
        <v>124</v>
      </c>
      <c r="B22" s="5" t="s">
        <v>125</v>
      </c>
      <c r="C22" s="5" t="s">
        <v>17</v>
      </c>
      <c r="D22" s="5" t="s">
        <v>126</v>
      </c>
      <c r="E22" s="5" t="s">
        <v>127</v>
      </c>
      <c r="F22" s="5" t="s">
        <v>20</v>
      </c>
      <c r="G22" s="5" t="s">
        <v>14</v>
      </c>
      <c r="H22" s="2" t="s">
        <v>62</v>
      </c>
    </row>
    <row r="23" spans="1:8" x14ac:dyDescent="0.3">
      <c r="A23" s="5" t="s">
        <v>128</v>
      </c>
      <c r="B23" s="5" t="s">
        <v>129</v>
      </c>
      <c r="C23" s="5" t="s">
        <v>130</v>
      </c>
      <c r="D23" s="5" t="s">
        <v>131</v>
      </c>
      <c r="E23" s="5" t="s">
        <v>132</v>
      </c>
      <c r="F23" s="5" t="s">
        <v>13</v>
      </c>
      <c r="G23" s="5" t="s">
        <v>14</v>
      </c>
      <c r="H23" s="2" t="s">
        <v>62</v>
      </c>
    </row>
    <row r="24" spans="1:8" x14ac:dyDescent="0.3">
      <c r="A24" s="5" t="s">
        <v>133</v>
      </c>
      <c r="B24" s="5" t="s">
        <v>134</v>
      </c>
      <c r="C24" s="5" t="s">
        <v>39</v>
      </c>
      <c r="D24" s="5" t="s">
        <v>135</v>
      </c>
      <c r="E24" s="5" t="s">
        <v>136</v>
      </c>
      <c r="F24" s="5" t="s">
        <v>32</v>
      </c>
      <c r="G24" s="5" t="s">
        <v>27</v>
      </c>
      <c r="H24" s="2" t="s">
        <v>62</v>
      </c>
    </row>
    <row r="25" spans="1:8" x14ac:dyDescent="0.3">
      <c r="A25" s="5" t="s">
        <v>137</v>
      </c>
      <c r="B25" s="5" t="s">
        <v>138</v>
      </c>
      <c r="C25" s="5" t="s">
        <v>39</v>
      </c>
      <c r="D25" s="5" t="s">
        <v>139</v>
      </c>
      <c r="E25" s="5" t="s">
        <v>140</v>
      </c>
      <c r="F25" s="5" t="s">
        <v>13</v>
      </c>
      <c r="G25" s="5" t="s">
        <v>27</v>
      </c>
      <c r="H25" s="2" t="s">
        <v>62</v>
      </c>
    </row>
    <row r="26" spans="1:8" x14ac:dyDescent="0.3">
      <c r="A26" s="5" t="s">
        <v>141</v>
      </c>
      <c r="B26" s="5" t="s">
        <v>142</v>
      </c>
      <c r="C26" s="5" t="s">
        <v>39</v>
      </c>
      <c r="D26" s="5" t="s">
        <v>143</v>
      </c>
      <c r="E26" s="5" t="s">
        <v>144</v>
      </c>
      <c r="F26" s="5" t="s">
        <v>26</v>
      </c>
      <c r="G26" s="5" t="s">
        <v>27</v>
      </c>
      <c r="H26" s="2" t="s">
        <v>62</v>
      </c>
    </row>
    <row r="27" spans="1:8" x14ac:dyDescent="0.3">
      <c r="A27" s="5" t="s">
        <v>145</v>
      </c>
      <c r="B27" s="5" t="s">
        <v>146</v>
      </c>
      <c r="C27" s="5" t="s">
        <v>10</v>
      </c>
      <c r="D27" s="5" t="s">
        <v>147</v>
      </c>
      <c r="E27" s="5" t="s">
        <v>148</v>
      </c>
      <c r="F27" s="5" t="s">
        <v>20</v>
      </c>
      <c r="G27" s="5" t="s">
        <v>27</v>
      </c>
      <c r="H27" s="2" t="s">
        <v>62</v>
      </c>
    </row>
    <row r="28" spans="1:8" x14ac:dyDescent="0.3">
      <c r="A28" s="5" t="s">
        <v>149</v>
      </c>
      <c r="B28" s="5" t="s">
        <v>150</v>
      </c>
      <c r="C28" s="5" t="s">
        <v>23</v>
      </c>
      <c r="D28" s="5" t="s">
        <v>151</v>
      </c>
      <c r="E28" s="5" t="s">
        <v>152</v>
      </c>
      <c r="F28" s="5" t="s">
        <v>26</v>
      </c>
      <c r="G28" s="5" t="s">
        <v>14</v>
      </c>
      <c r="H28" s="2" t="s">
        <v>62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C006B-4197-4B7B-AFBE-8179259C0D48}">
  <dimension ref="A1:W26"/>
  <sheetViews>
    <sheetView zoomScale="70" zoomScaleNormal="70" workbookViewId="0">
      <selection activeCell="O55" sqref="O55"/>
    </sheetView>
  </sheetViews>
  <sheetFormatPr baseColWidth="10" defaultRowHeight="14.4" x14ac:dyDescent="0.3"/>
  <cols>
    <col min="1" max="1" width="18.77734375" customWidth="1"/>
    <col min="3" max="3" width="11.77734375" bestFit="1" customWidth="1"/>
    <col min="23" max="23" width="16" customWidth="1"/>
  </cols>
  <sheetData>
    <row r="1" spans="1:23" x14ac:dyDescent="0.3">
      <c r="A1" s="10" t="s">
        <v>64</v>
      </c>
      <c r="B1" s="10" t="s">
        <v>65</v>
      </c>
      <c r="C1" s="10" t="s">
        <v>66</v>
      </c>
      <c r="D1" s="10" t="s">
        <v>67</v>
      </c>
      <c r="E1" s="10" t="s">
        <v>68</v>
      </c>
      <c r="F1" s="10" t="s">
        <v>69</v>
      </c>
      <c r="G1" s="10" t="s">
        <v>70</v>
      </c>
      <c r="H1" s="10" t="s">
        <v>71</v>
      </c>
      <c r="I1" s="10" t="s">
        <v>72</v>
      </c>
      <c r="J1" s="10" t="s">
        <v>73</v>
      </c>
      <c r="K1" s="10" t="s">
        <v>74</v>
      </c>
      <c r="L1" s="10" t="s">
        <v>75</v>
      </c>
      <c r="M1" s="10" t="s">
        <v>76</v>
      </c>
      <c r="N1" s="10" t="s">
        <v>77</v>
      </c>
      <c r="O1" s="10" t="s">
        <v>78</v>
      </c>
      <c r="P1" s="10" t="s">
        <v>79</v>
      </c>
      <c r="Q1" s="10" t="s">
        <v>80</v>
      </c>
      <c r="R1" s="10" t="s">
        <v>81</v>
      </c>
      <c r="S1" s="10" t="s">
        <v>82</v>
      </c>
      <c r="T1" s="10" t="s">
        <v>83</v>
      </c>
      <c r="U1" s="10" t="s">
        <v>84</v>
      </c>
      <c r="V1" s="10" t="s">
        <v>85</v>
      </c>
      <c r="W1" s="10" t="s">
        <v>86</v>
      </c>
    </row>
    <row r="2" spans="1:23" x14ac:dyDescent="0.3">
      <c r="A2" s="10" t="s">
        <v>87</v>
      </c>
      <c r="B2" s="1">
        <v>4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1</v>
      </c>
      <c r="R2" s="1">
        <v>1</v>
      </c>
      <c r="S2" s="1">
        <v>1</v>
      </c>
      <c r="T2" s="1">
        <v>0</v>
      </c>
      <c r="U2" s="1">
        <v>0</v>
      </c>
      <c r="V2" s="1">
        <v>1</v>
      </c>
      <c r="W2" s="14">
        <v>4</v>
      </c>
    </row>
    <row r="3" spans="1:23" x14ac:dyDescent="0.3">
      <c r="A3" s="10" t="s">
        <v>88</v>
      </c>
      <c r="B3" s="1">
        <v>3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1</v>
      </c>
      <c r="Q3" s="1">
        <v>1</v>
      </c>
      <c r="R3" s="1">
        <v>1</v>
      </c>
      <c r="S3" s="1">
        <v>0</v>
      </c>
      <c r="T3" s="1">
        <v>0</v>
      </c>
      <c r="U3" s="1">
        <v>0</v>
      </c>
      <c r="V3" s="1">
        <v>0</v>
      </c>
      <c r="W3" s="14">
        <v>3</v>
      </c>
    </row>
    <row r="4" spans="1:23" x14ac:dyDescent="0.3">
      <c r="A4" s="10" t="s">
        <v>89</v>
      </c>
      <c r="B4" s="1">
        <v>3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</v>
      </c>
      <c r="P4" s="1">
        <v>1</v>
      </c>
      <c r="Q4" s="1">
        <v>1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4">
        <v>3</v>
      </c>
    </row>
    <row r="5" spans="1:23" x14ac:dyDescent="0.3">
      <c r="A5" s="10" t="s">
        <v>90</v>
      </c>
      <c r="B5" s="1">
        <v>3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1</v>
      </c>
      <c r="P5" s="1">
        <v>1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4">
        <v>3</v>
      </c>
    </row>
    <row r="6" spans="1:23" x14ac:dyDescent="0.3">
      <c r="A6" s="10" t="s">
        <v>91</v>
      </c>
      <c r="B6" s="1">
        <v>4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</v>
      </c>
      <c r="P6" s="1">
        <v>0</v>
      </c>
      <c r="Q6" s="1">
        <v>1</v>
      </c>
      <c r="R6" s="1">
        <v>1</v>
      </c>
      <c r="S6" s="1">
        <v>0</v>
      </c>
      <c r="T6" s="1">
        <v>0</v>
      </c>
      <c r="U6" s="1">
        <v>0</v>
      </c>
      <c r="V6" s="1">
        <v>0</v>
      </c>
      <c r="W6" s="14">
        <v>4</v>
      </c>
    </row>
    <row r="7" spans="1:23" x14ac:dyDescent="0.3">
      <c r="A7" s="10" t="s">
        <v>153</v>
      </c>
      <c r="B7" s="1">
        <v>3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">
        <v>0</v>
      </c>
      <c r="P7" s="1">
        <v>1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4">
        <v>3</v>
      </c>
    </row>
    <row r="8" spans="1:23" x14ac:dyDescent="0.3">
      <c r="A8" s="10" t="s">
        <v>154</v>
      </c>
      <c r="B8" s="1">
        <v>4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0</v>
      </c>
      <c r="P8" s="1">
        <v>1</v>
      </c>
      <c r="Q8" s="1">
        <v>1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4">
        <v>4</v>
      </c>
    </row>
    <row r="9" spans="1:23" x14ac:dyDescent="0.3">
      <c r="A9" s="10" t="s">
        <v>155</v>
      </c>
      <c r="B9" s="1">
        <v>3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0</v>
      </c>
      <c r="O9" s="1">
        <v>1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4">
        <v>3</v>
      </c>
    </row>
    <row r="10" spans="1:23" x14ac:dyDescent="0.3">
      <c r="A10" s="10" t="s">
        <v>156</v>
      </c>
      <c r="B10" s="1">
        <v>5</v>
      </c>
      <c r="C10" s="1">
        <v>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1</v>
      </c>
      <c r="M10" s="1">
        <v>1</v>
      </c>
      <c r="N10" s="1">
        <v>0</v>
      </c>
      <c r="O10" s="1">
        <v>1</v>
      </c>
      <c r="P10" s="1">
        <v>1</v>
      </c>
      <c r="Q10" s="1">
        <v>1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4">
        <v>5</v>
      </c>
    </row>
    <row r="11" spans="1:23" x14ac:dyDescent="0.3">
      <c r="A11" s="10" t="s">
        <v>157</v>
      </c>
      <c r="B11" s="1">
        <v>4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1</v>
      </c>
      <c r="L11" s="1">
        <v>1</v>
      </c>
      <c r="M11" s="1">
        <v>0</v>
      </c>
      <c r="N11" s="1">
        <v>1</v>
      </c>
      <c r="O11" s="1">
        <v>1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4">
        <v>4</v>
      </c>
    </row>
    <row r="12" spans="1:23" x14ac:dyDescent="0.3">
      <c r="A12" s="10" t="s">
        <v>158</v>
      </c>
      <c r="B12" s="1">
        <v>4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1</v>
      </c>
      <c r="K12" s="1">
        <v>1</v>
      </c>
      <c r="L12" s="1">
        <v>0</v>
      </c>
      <c r="M12" s="1">
        <v>1</v>
      </c>
      <c r="N12" s="1">
        <v>1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4">
        <v>4</v>
      </c>
    </row>
    <row r="13" spans="1:23" x14ac:dyDescent="0.3">
      <c r="A13" s="10" t="s">
        <v>159</v>
      </c>
      <c r="B13" s="1">
        <v>4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1</v>
      </c>
      <c r="L13" s="1">
        <v>1</v>
      </c>
      <c r="M13" s="1">
        <v>0</v>
      </c>
      <c r="N13" s="1">
        <v>1</v>
      </c>
      <c r="O13" s="1">
        <v>1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4">
        <v>4</v>
      </c>
    </row>
    <row r="14" spans="1:23" x14ac:dyDescent="0.3">
      <c r="A14" s="10" t="s">
        <v>160</v>
      </c>
      <c r="B14" s="1">
        <v>3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1</v>
      </c>
      <c r="K14" s="1">
        <v>1</v>
      </c>
      <c r="L14" s="1">
        <v>0</v>
      </c>
      <c r="M14" s="1">
        <v>1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4">
        <v>3</v>
      </c>
    </row>
    <row r="15" spans="1:23" x14ac:dyDescent="0.3">
      <c r="A15" s="10" t="s">
        <v>161</v>
      </c>
      <c r="B15" s="1">
        <v>4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1</v>
      </c>
      <c r="K15" s="1">
        <v>1</v>
      </c>
      <c r="L15" s="1">
        <v>0</v>
      </c>
      <c r="M15" s="1">
        <v>1</v>
      </c>
      <c r="N15" s="1">
        <v>1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4">
        <v>4</v>
      </c>
    </row>
    <row r="16" spans="1:23" x14ac:dyDescent="0.3">
      <c r="A16" s="10" t="s">
        <v>162</v>
      </c>
      <c r="B16" s="1">
        <v>3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1</v>
      </c>
      <c r="J16" s="1">
        <v>1</v>
      </c>
      <c r="K16" s="1">
        <v>0</v>
      </c>
      <c r="L16" s="1">
        <v>1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4">
        <v>3</v>
      </c>
    </row>
    <row r="17" spans="1:23" x14ac:dyDescent="0.3">
      <c r="A17" s="10" t="s">
        <v>163</v>
      </c>
      <c r="B17" s="1">
        <v>4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1</v>
      </c>
      <c r="K17" s="1">
        <v>0</v>
      </c>
      <c r="L17" s="1">
        <v>1</v>
      </c>
      <c r="M17" s="1">
        <v>1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4">
        <v>4</v>
      </c>
    </row>
    <row r="18" spans="1:23" x14ac:dyDescent="0.3">
      <c r="A18" s="10" t="s">
        <v>164</v>
      </c>
      <c r="B18" s="1">
        <v>3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1</v>
      </c>
      <c r="I18" s="1">
        <v>1</v>
      </c>
      <c r="J18" s="1">
        <v>0</v>
      </c>
      <c r="K18" s="1">
        <v>1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4">
        <v>3</v>
      </c>
    </row>
    <row r="19" spans="1:23" x14ac:dyDescent="0.3">
      <c r="A19" s="10" t="s">
        <v>165</v>
      </c>
      <c r="B19" s="1">
        <v>3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1</v>
      </c>
      <c r="J19" s="1">
        <v>0</v>
      </c>
      <c r="K19" s="1">
        <v>1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4">
        <v>3</v>
      </c>
    </row>
    <row r="20" spans="1:23" x14ac:dyDescent="0.3">
      <c r="A20" s="10" t="s">
        <v>166</v>
      </c>
      <c r="B20" s="1">
        <v>4</v>
      </c>
      <c r="C20" s="1">
        <v>0</v>
      </c>
      <c r="D20" s="1">
        <v>0</v>
      </c>
      <c r="E20" s="1">
        <v>0</v>
      </c>
      <c r="F20" s="1">
        <v>0</v>
      </c>
      <c r="G20" s="1">
        <v>1</v>
      </c>
      <c r="H20" s="1">
        <v>1</v>
      </c>
      <c r="I20" s="1">
        <v>0</v>
      </c>
      <c r="J20" s="1">
        <v>1</v>
      </c>
      <c r="K20" s="1">
        <v>1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4">
        <v>4</v>
      </c>
    </row>
    <row r="21" spans="1:23" x14ac:dyDescent="0.3">
      <c r="A21" s="10" t="s">
        <v>167</v>
      </c>
      <c r="B21" s="1">
        <v>4</v>
      </c>
      <c r="C21" s="1">
        <v>0</v>
      </c>
      <c r="D21" s="1">
        <v>0</v>
      </c>
      <c r="E21" s="1">
        <v>0</v>
      </c>
      <c r="F21" s="1">
        <v>1</v>
      </c>
      <c r="G21" s="1">
        <v>1</v>
      </c>
      <c r="H21" s="1">
        <v>0</v>
      </c>
      <c r="I21" s="1">
        <v>1</v>
      </c>
      <c r="J21" s="1">
        <v>1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4">
        <v>4</v>
      </c>
    </row>
    <row r="22" spans="1:23" x14ac:dyDescent="0.3">
      <c r="A22" s="10" t="s">
        <v>168</v>
      </c>
      <c r="B22" s="1">
        <v>3</v>
      </c>
      <c r="C22" s="1">
        <v>0</v>
      </c>
      <c r="D22" s="1">
        <v>0</v>
      </c>
      <c r="E22" s="1">
        <v>0</v>
      </c>
      <c r="F22" s="1">
        <v>0</v>
      </c>
      <c r="G22" s="1">
        <v>1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4">
        <v>3</v>
      </c>
    </row>
    <row r="23" spans="1:23" x14ac:dyDescent="0.3">
      <c r="A23" s="10" t="s">
        <v>169</v>
      </c>
      <c r="B23" s="1">
        <v>3</v>
      </c>
      <c r="C23" s="1">
        <v>0</v>
      </c>
      <c r="D23" s="1">
        <v>0</v>
      </c>
      <c r="E23" s="1">
        <v>1</v>
      </c>
      <c r="F23" s="1">
        <v>1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4">
        <v>3</v>
      </c>
    </row>
    <row r="24" spans="1:23" x14ac:dyDescent="0.3">
      <c r="A24" s="10" t="s">
        <v>170</v>
      </c>
      <c r="B24" s="1">
        <v>4</v>
      </c>
      <c r="C24" s="1">
        <v>0</v>
      </c>
      <c r="D24" s="1">
        <v>1</v>
      </c>
      <c r="E24" s="1">
        <v>1</v>
      </c>
      <c r="F24" s="1">
        <v>0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4">
        <v>4</v>
      </c>
    </row>
    <row r="25" spans="1:23" x14ac:dyDescent="0.3">
      <c r="A25" s="9" t="s">
        <v>63</v>
      </c>
      <c r="B25" s="11">
        <f>SUM(B1:B24)</f>
        <v>82</v>
      </c>
      <c r="C25" s="11">
        <f>B25-SUM(C1:C24)</f>
        <v>82</v>
      </c>
      <c r="D25" s="11">
        <f>C25-SUM(D1:D24)</f>
        <v>81</v>
      </c>
      <c r="E25" s="11">
        <f>D25-SUM(E1:E24)</f>
        <v>79</v>
      </c>
      <c r="F25" s="11">
        <f>E25-SUM(F1:F24)</f>
        <v>77</v>
      </c>
      <c r="G25" s="11">
        <f>F25-SUM(G1:G24)</f>
        <v>72</v>
      </c>
      <c r="H25" s="11">
        <f>G25-SUM(H1:H24)</f>
        <v>67</v>
      </c>
      <c r="I25" s="11">
        <f>H25-SUM(I1:I24)</f>
        <v>61</v>
      </c>
      <c r="J25" s="11">
        <f>I25-SUM(J1:J24)</f>
        <v>54</v>
      </c>
      <c r="K25" s="11">
        <f>J25-SUM(K1:K24)</f>
        <v>46</v>
      </c>
      <c r="L25" s="11">
        <f>K25-SUM(L1:L24)</f>
        <v>40</v>
      </c>
      <c r="M25" s="11">
        <f>L25-SUM(M1:M24)</f>
        <v>32</v>
      </c>
      <c r="N25" s="11">
        <f>M25-SUM(N1:N24)</f>
        <v>24</v>
      </c>
      <c r="O25" s="11">
        <f>N25-SUM(O1:O24)</f>
        <v>17</v>
      </c>
      <c r="P25" s="11">
        <f>O25-SUM(P1:P24)</f>
        <v>11</v>
      </c>
      <c r="Q25" s="11">
        <f>P25-SUM(Q1:Q24)</f>
        <v>5</v>
      </c>
      <c r="R25" s="11">
        <f>Q25-SUM(R1:R24)</f>
        <v>2</v>
      </c>
      <c r="S25" s="11">
        <f>R25-SUM(S1:S24)</f>
        <v>1</v>
      </c>
      <c r="T25" s="11">
        <f>S25-SUM(T1:T24)</f>
        <v>1</v>
      </c>
      <c r="U25" s="11">
        <f>T25-SUM(U1:U24)</f>
        <v>1</v>
      </c>
      <c r="V25" s="11">
        <f>U25-SUM(V1:V24)</f>
        <v>0</v>
      </c>
    </row>
    <row r="26" spans="1:23" ht="15" thickBot="1" x14ac:dyDescent="0.35">
      <c r="A26" s="7" t="s">
        <v>171</v>
      </c>
      <c r="B26" s="12">
        <f>SUM(B2:B24)</f>
        <v>82</v>
      </c>
      <c r="C26" s="13">
        <f>B26-(SUM($B$2:$B$24)/20)</f>
        <v>77.900000000000006</v>
      </c>
      <c r="D26" s="13">
        <f>C26-(SUM($B$2:$B$24)/20)</f>
        <v>73.800000000000011</v>
      </c>
      <c r="E26" s="13">
        <f>D26-(SUM($B$2:$B$24)/20)</f>
        <v>69.700000000000017</v>
      </c>
      <c r="F26" s="13">
        <f>E26-(SUM($B$2:$B$24)/20)</f>
        <v>65.600000000000023</v>
      </c>
      <c r="G26" s="13">
        <f>F26-(SUM($B$2:$B$24)/20)</f>
        <v>61.500000000000021</v>
      </c>
      <c r="H26" s="13">
        <f>G26-(SUM($B$2:$B$24)/20)</f>
        <v>57.40000000000002</v>
      </c>
      <c r="I26" s="13">
        <f>H26-(SUM($B$2:$B$24)/20)</f>
        <v>53.300000000000018</v>
      </c>
      <c r="J26" s="13">
        <f>I26-(SUM($B$2:$B$24)/20)</f>
        <v>49.200000000000017</v>
      </c>
      <c r="K26" s="13">
        <f>J26-(SUM($B$2:$B$24)/20)</f>
        <v>45.100000000000016</v>
      </c>
      <c r="L26" s="13">
        <f>K26-(SUM($B$2:$B$24)/20)</f>
        <v>41.000000000000014</v>
      </c>
      <c r="M26" s="13">
        <f>L26-(SUM($B$2:$B$24)/20)</f>
        <v>36.900000000000013</v>
      </c>
      <c r="N26" s="13">
        <f>M26-(SUM($B$2:$B$24)/20)</f>
        <v>32.800000000000011</v>
      </c>
      <c r="O26" s="13">
        <f>N26-(SUM($B$2:$B$24)/20)</f>
        <v>28.70000000000001</v>
      </c>
      <c r="P26" s="13">
        <f>O26-(SUM($B$2:$B$24)/20)</f>
        <v>24.600000000000009</v>
      </c>
      <c r="Q26" s="13">
        <f>P26-(SUM($B$2:$B$24)/20)</f>
        <v>20.500000000000007</v>
      </c>
      <c r="R26" s="13">
        <f>Q26-(SUM($B$2:$B$24)/20)</f>
        <v>16.400000000000006</v>
      </c>
      <c r="S26" s="13">
        <f>R26-(SUM($B$2:$B$24)/20)</f>
        <v>12.300000000000006</v>
      </c>
      <c r="T26" s="13">
        <f>S26-(SUM($B$2:$B$24)/20)</f>
        <v>8.2000000000000064</v>
      </c>
      <c r="U26" s="13">
        <f>T26-(SUM($B$2:$B$24)/20)</f>
        <v>4.1000000000000068</v>
      </c>
      <c r="V26" s="13">
        <f>U26-(SUM($B$2:$B$24)/20)</f>
        <v>7.1054273576010019E-15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E67E3-8EE7-4E29-9E7D-E9FA22998F1F}">
  <sheetPr>
    <outlinePr summaryBelow="0" summaryRight="0"/>
  </sheetPr>
  <dimension ref="A1:AA964"/>
  <sheetViews>
    <sheetView tabSelected="1" topLeftCell="A5" zoomScale="70" zoomScaleNormal="70" workbookViewId="0">
      <selection activeCell="E47" sqref="E47"/>
    </sheetView>
  </sheetViews>
  <sheetFormatPr baseColWidth="10" defaultColWidth="12.6640625" defaultRowHeight="15" customHeight="1" x14ac:dyDescent="0.3"/>
  <cols>
    <col min="1" max="2" width="12.44140625" style="6" customWidth="1"/>
    <col min="3" max="4" width="18.88671875" style="6" customWidth="1"/>
    <col min="5" max="5" width="20.44140625" style="6" customWidth="1"/>
    <col min="6" max="6" width="36.88671875" style="6" customWidth="1"/>
    <col min="7" max="7" width="12.44140625" style="6" customWidth="1"/>
    <col min="8" max="8" width="16.109375" style="6" customWidth="1"/>
    <col min="9" max="10" width="12.44140625" style="6" customWidth="1"/>
    <col min="11" max="11" width="16.77734375" style="6" customWidth="1"/>
    <col min="12" max="27" width="12.44140625" style="6" customWidth="1"/>
    <col min="28" max="16384" width="12.6640625" style="6"/>
  </cols>
  <sheetData>
    <row r="1" spans="1:27" ht="15.75" customHeight="1" x14ac:dyDescent="0.3"/>
    <row r="2" spans="1:27" ht="15.75" customHeight="1" x14ac:dyDescent="0.3">
      <c r="B2" s="19" t="s">
        <v>271</v>
      </c>
    </row>
    <row r="3" spans="1:27" ht="15.75" customHeight="1" x14ac:dyDescent="0.3"/>
    <row r="4" spans="1:27" ht="31.5" customHeight="1" x14ac:dyDescent="0.3">
      <c r="A4" s="27"/>
      <c r="B4" s="18" t="s">
        <v>0</v>
      </c>
      <c r="C4" s="18" t="s">
        <v>1</v>
      </c>
      <c r="D4" s="18" t="s">
        <v>2</v>
      </c>
      <c r="E4" s="18" t="s">
        <v>3</v>
      </c>
      <c r="F4" s="18" t="s">
        <v>197</v>
      </c>
      <c r="G4" s="18" t="s">
        <v>5</v>
      </c>
      <c r="H4" s="18" t="s">
        <v>196</v>
      </c>
      <c r="I4" s="18" t="s">
        <v>6</v>
      </c>
      <c r="J4" s="18" t="s">
        <v>195</v>
      </c>
      <c r="K4" s="18" t="s">
        <v>194</v>
      </c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</row>
    <row r="5" spans="1:27" ht="39.6" x14ac:dyDescent="0.3">
      <c r="A5" s="27"/>
      <c r="B5" s="17" t="s">
        <v>270</v>
      </c>
      <c r="C5" s="15" t="s">
        <v>269</v>
      </c>
      <c r="D5" s="15" t="s">
        <v>17</v>
      </c>
      <c r="E5" s="15" t="s">
        <v>268</v>
      </c>
      <c r="F5" s="15" t="s">
        <v>267</v>
      </c>
      <c r="G5" s="15" t="s">
        <v>20</v>
      </c>
      <c r="H5" s="15"/>
      <c r="I5" s="15" t="s">
        <v>14</v>
      </c>
      <c r="J5" s="15" t="s">
        <v>172</v>
      </c>
      <c r="K5" s="15">
        <v>4</v>
      </c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</row>
    <row r="6" spans="1:27" ht="52.8" x14ac:dyDescent="0.3">
      <c r="A6" s="27"/>
      <c r="B6" s="17" t="s">
        <v>266</v>
      </c>
      <c r="C6" s="15" t="s">
        <v>265</v>
      </c>
      <c r="D6" s="15" t="s">
        <v>39</v>
      </c>
      <c r="E6" s="15" t="s">
        <v>264</v>
      </c>
      <c r="F6" s="15" t="s">
        <v>263</v>
      </c>
      <c r="G6" s="15" t="s">
        <v>26</v>
      </c>
      <c r="H6" s="15"/>
      <c r="I6" s="15" t="s">
        <v>14</v>
      </c>
      <c r="J6" s="15" t="s">
        <v>172</v>
      </c>
      <c r="K6" s="15">
        <v>3</v>
      </c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</row>
    <row r="7" spans="1:27" ht="39.6" x14ac:dyDescent="0.3">
      <c r="A7" s="27"/>
      <c r="B7" s="17" t="s">
        <v>262</v>
      </c>
      <c r="C7" s="15" t="s">
        <v>261</v>
      </c>
      <c r="D7" s="15" t="s">
        <v>248</v>
      </c>
      <c r="E7" s="15" t="s">
        <v>260</v>
      </c>
      <c r="F7" s="15" t="s">
        <v>259</v>
      </c>
      <c r="G7" s="15" t="s">
        <v>13</v>
      </c>
      <c r="H7" s="15"/>
      <c r="I7" s="15" t="s">
        <v>14</v>
      </c>
      <c r="J7" s="15" t="s">
        <v>172</v>
      </c>
      <c r="K7" s="15">
        <v>2</v>
      </c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</row>
    <row r="8" spans="1:27" ht="39.6" x14ac:dyDescent="0.3">
      <c r="A8" s="27"/>
      <c r="B8" s="17" t="s">
        <v>258</v>
      </c>
      <c r="C8" s="15" t="s">
        <v>257</v>
      </c>
      <c r="D8" s="15" t="s">
        <v>248</v>
      </c>
      <c r="E8" s="15" t="s">
        <v>256</v>
      </c>
      <c r="F8" s="15" t="s">
        <v>255</v>
      </c>
      <c r="G8" s="15" t="s">
        <v>185</v>
      </c>
      <c r="H8" s="15"/>
      <c r="I8" s="15" t="s">
        <v>14</v>
      </c>
      <c r="J8" s="15" t="s">
        <v>172</v>
      </c>
      <c r="K8" s="15">
        <v>3</v>
      </c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</row>
    <row r="9" spans="1:27" ht="26.4" x14ac:dyDescent="0.3">
      <c r="B9" s="17" t="s">
        <v>254</v>
      </c>
      <c r="C9" s="15" t="s">
        <v>253</v>
      </c>
      <c r="D9" s="15" t="s">
        <v>248</v>
      </c>
      <c r="E9" s="15" t="s">
        <v>252</v>
      </c>
      <c r="F9" s="15" t="s">
        <v>251</v>
      </c>
      <c r="G9" s="15" t="s">
        <v>20</v>
      </c>
      <c r="H9" s="15"/>
      <c r="I9" s="15" t="s">
        <v>27</v>
      </c>
      <c r="J9" s="15" t="s">
        <v>172</v>
      </c>
      <c r="K9" s="15">
        <v>2</v>
      </c>
    </row>
    <row r="10" spans="1:27" ht="39" customHeight="1" x14ac:dyDescent="0.3">
      <c r="B10" s="17" t="s">
        <v>250</v>
      </c>
      <c r="C10" s="15" t="s">
        <v>249</v>
      </c>
      <c r="D10" s="15" t="s">
        <v>248</v>
      </c>
      <c r="E10" s="15" t="s">
        <v>247</v>
      </c>
      <c r="F10" s="15" t="s">
        <v>246</v>
      </c>
      <c r="G10" s="15" t="s">
        <v>26</v>
      </c>
      <c r="H10" s="15"/>
      <c r="I10" s="15" t="s">
        <v>14</v>
      </c>
      <c r="J10" s="15" t="s">
        <v>172</v>
      </c>
      <c r="K10" s="15">
        <v>5</v>
      </c>
    </row>
    <row r="12" spans="1:27" ht="15.75" customHeight="1" x14ac:dyDescent="0.3"/>
    <row r="13" spans="1:27" ht="15.75" customHeight="1" x14ac:dyDescent="0.3">
      <c r="B13" s="8"/>
    </row>
    <row r="14" spans="1:27" ht="15.75" customHeight="1" x14ac:dyDescent="0.3">
      <c r="B14" s="19" t="s">
        <v>245</v>
      </c>
    </row>
    <row r="15" spans="1:27" ht="15.75" customHeight="1" x14ac:dyDescent="0.3"/>
    <row r="16" spans="1:27" ht="15.75" customHeight="1" x14ac:dyDescent="0.3">
      <c r="B16" s="18" t="s">
        <v>0</v>
      </c>
      <c r="C16" s="18" t="s">
        <v>1</v>
      </c>
      <c r="D16" s="18" t="s">
        <v>2</v>
      </c>
      <c r="E16" s="18" t="s">
        <v>3</v>
      </c>
      <c r="F16" s="18" t="s">
        <v>197</v>
      </c>
      <c r="G16" s="18" t="s">
        <v>5</v>
      </c>
      <c r="H16" s="18" t="s">
        <v>196</v>
      </c>
      <c r="I16" s="18" t="s">
        <v>6</v>
      </c>
      <c r="J16" s="18" t="s">
        <v>195</v>
      </c>
      <c r="K16" s="18" t="s">
        <v>194</v>
      </c>
    </row>
    <row r="17" spans="2:15" ht="42" customHeight="1" x14ac:dyDescent="0.3">
      <c r="B17" s="17" t="s">
        <v>244</v>
      </c>
      <c r="C17" s="15" t="s">
        <v>243</v>
      </c>
      <c r="D17" s="15" t="s">
        <v>39</v>
      </c>
      <c r="E17" s="15" t="s">
        <v>242</v>
      </c>
      <c r="F17" s="15" t="s">
        <v>241</v>
      </c>
      <c r="G17" s="15" t="s">
        <v>20</v>
      </c>
      <c r="H17" s="15"/>
      <c r="I17" s="15" t="s">
        <v>14</v>
      </c>
      <c r="J17" s="15" t="s">
        <v>172</v>
      </c>
      <c r="K17" s="15">
        <v>6</v>
      </c>
    </row>
    <row r="18" spans="2:15" ht="49.5" customHeight="1" x14ac:dyDescent="0.3">
      <c r="B18" s="17" t="s">
        <v>240</v>
      </c>
      <c r="C18" s="15" t="s">
        <v>188</v>
      </c>
      <c r="D18" s="15" t="s">
        <v>17</v>
      </c>
      <c r="E18" s="15" t="s">
        <v>239</v>
      </c>
      <c r="F18" s="15" t="s">
        <v>238</v>
      </c>
      <c r="G18" s="15" t="s">
        <v>13</v>
      </c>
      <c r="H18" s="15"/>
      <c r="I18" s="15" t="s">
        <v>14</v>
      </c>
      <c r="J18" s="15" t="s">
        <v>172</v>
      </c>
      <c r="K18" s="15">
        <v>5</v>
      </c>
    </row>
    <row r="19" spans="2:15" ht="48.75" customHeight="1" x14ac:dyDescent="0.3">
      <c r="B19" s="17" t="s">
        <v>237</v>
      </c>
      <c r="C19" s="16" t="s">
        <v>236</v>
      </c>
      <c r="D19" s="15" t="s">
        <v>17</v>
      </c>
      <c r="E19" s="15" t="s">
        <v>235</v>
      </c>
      <c r="F19" s="15" t="s">
        <v>234</v>
      </c>
      <c r="G19" s="15" t="s">
        <v>185</v>
      </c>
      <c r="H19" s="15"/>
      <c r="I19" s="15" t="s">
        <v>14</v>
      </c>
      <c r="J19" s="15" t="s">
        <v>172</v>
      </c>
      <c r="K19" s="15">
        <v>4</v>
      </c>
    </row>
    <row r="20" spans="2:15" ht="52.5" customHeight="1" x14ac:dyDescent="0.3">
      <c r="B20" s="26" t="s">
        <v>233</v>
      </c>
      <c r="C20" s="25" t="s">
        <v>232</v>
      </c>
      <c r="D20" s="25" t="s">
        <v>130</v>
      </c>
      <c r="E20" s="25" t="s">
        <v>231</v>
      </c>
      <c r="F20" s="25" t="s">
        <v>230</v>
      </c>
      <c r="G20" s="25" t="s">
        <v>26</v>
      </c>
      <c r="H20" s="25"/>
      <c r="I20" s="25" t="s">
        <v>27</v>
      </c>
      <c r="J20" s="15" t="s">
        <v>172</v>
      </c>
      <c r="K20" s="25">
        <v>3</v>
      </c>
    </row>
    <row r="21" spans="2:15" ht="36" customHeight="1" x14ac:dyDescent="0.3">
      <c r="B21" s="24"/>
      <c r="C21" s="23"/>
      <c r="D21" s="23"/>
      <c r="E21" s="23"/>
      <c r="F21" s="23"/>
      <c r="G21" s="23"/>
      <c r="H21" s="23"/>
      <c r="I21" s="23"/>
      <c r="J21" s="23"/>
      <c r="K21" s="23"/>
    </row>
    <row r="22" spans="2:15" ht="32.25" customHeight="1" x14ac:dyDescent="0.3">
      <c r="B22" s="22"/>
      <c r="C22" s="21"/>
      <c r="D22" s="21"/>
      <c r="E22" s="21"/>
      <c r="F22" s="21"/>
      <c r="G22" s="21"/>
      <c r="H22" s="21"/>
      <c r="I22" s="21"/>
      <c r="J22" s="21"/>
      <c r="K22" s="21"/>
    </row>
    <row r="23" spans="2:15" ht="15.75" customHeight="1" x14ac:dyDescent="0.3"/>
    <row r="24" spans="2:15" ht="15.75" customHeight="1" x14ac:dyDescent="0.3">
      <c r="B24" s="19" t="s">
        <v>229</v>
      </c>
    </row>
    <row r="25" spans="2:15" ht="15.75" customHeight="1" x14ac:dyDescent="0.3"/>
    <row r="26" spans="2:15" ht="45.75" customHeight="1" x14ac:dyDescent="0.3">
      <c r="B26" s="18" t="s">
        <v>0</v>
      </c>
      <c r="C26" s="18" t="s">
        <v>1</v>
      </c>
      <c r="D26" s="18" t="s">
        <v>2</v>
      </c>
      <c r="E26" s="18" t="s">
        <v>3</v>
      </c>
      <c r="F26" s="18" t="s">
        <v>197</v>
      </c>
      <c r="G26" s="18" t="s">
        <v>5</v>
      </c>
      <c r="H26" s="18" t="s">
        <v>196</v>
      </c>
      <c r="I26" s="18" t="s">
        <v>6</v>
      </c>
      <c r="J26" s="18" t="s">
        <v>195</v>
      </c>
      <c r="K26" s="18" t="s">
        <v>194</v>
      </c>
    </row>
    <row r="27" spans="2:15" ht="47.25" customHeight="1" x14ac:dyDescent="0.3">
      <c r="B27" s="17" t="s">
        <v>228</v>
      </c>
      <c r="C27" s="15" t="s">
        <v>227</v>
      </c>
      <c r="D27" s="15" t="s">
        <v>130</v>
      </c>
      <c r="E27" s="15" t="s">
        <v>226</v>
      </c>
      <c r="F27" s="15" t="s">
        <v>225</v>
      </c>
      <c r="G27" s="15" t="s">
        <v>185</v>
      </c>
      <c r="H27" s="15"/>
      <c r="I27" s="15" t="s">
        <v>14</v>
      </c>
      <c r="J27" s="15" t="s">
        <v>172</v>
      </c>
      <c r="K27" s="15">
        <v>4</v>
      </c>
    </row>
    <row r="28" spans="2:15" ht="53.25" customHeight="1" x14ac:dyDescent="0.3">
      <c r="B28" s="17" t="s">
        <v>224</v>
      </c>
      <c r="C28" s="15" t="s">
        <v>179</v>
      </c>
      <c r="D28" s="15" t="s">
        <v>39</v>
      </c>
      <c r="E28" s="15" t="s">
        <v>178</v>
      </c>
      <c r="F28" s="15" t="s">
        <v>223</v>
      </c>
      <c r="G28" s="15" t="s">
        <v>185</v>
      </c>
      <c r="H28" s="15"/>
      <c r="I28" s="15" t="s">
        <v>14</v>
      </c>
      <c r="J28" s="15" t="s">
        <v>172</v>
      </c>
      <c r="K28" s="15">
        <v>3</v>
      </c>
    </row>
    <row r="29" spans="2:15" ht="53.25" customHeight="1" x14ac:dyDescent="0.3">
      <c r="B29" s="17" t="s">
        <v>222</v>
      </c>
      <c r="C29" s="15" t="s">
        <v>221</v>
      </c>
      <c r="D29" s="15" t="s">
        <v>17</v>
      </c>
      <c r="E29" s="15" t="s">
        <v>220</v>
      </c>
      <c r="F29" s="15" t="s">
        <v>219</v>
      </c>
      <c r="G29" s="15" t="s">
        <v>185</v>
      </c>
      <c r="H29" s="15"/>
      <c r="I29" s="15" t="s">
        <v>14</v>
      </c>
      <c r="J29" s="15" t="s">
        <v>172</v>
      </c>
      <c r="K29" s="15">
        <v>2</v>
      </c>
    </row>
    <row r="30" spans="2:15" ht="54.75" customHeight="1" x14ac:dyDescent="0.3">
      <c r="B30" s="17" t="s">
        <v>218</v>
      </c>
      <c r="C30" s="15" t="s">
        <v>217</v>
      </c>
      <c r="D30" s="15" t="s">
        <v>17</v>
      </c>
      <c r="E30" s="15" t="s">
        <v>216</v>
      </c>
      <c r="F30" s="15" t="s">
        <v>215</v>
      </c>
      <c r="G30" s="15" t="s">
        <v>13</v>
      </c>
      <c r="H30" s="15"/>
      <c r="I30" s="15" t="s">
        <v>14</v>
      </c>
      <c r="J30" s="15" t="s">
        <v>172</v>
      </c>
      <c r="K30" s="15">
        <v>3</v>
      </c>
    </row>
    <row r="31" spans="2:15" ht="39.6" x14ac:dyDescent="0.3">
      <c r="B31" s="17" t="s">
        <v>214</v>
      </c>
      <c r="C31" s="15" t="s">
        <v>213</v>
      </c>
      <c r="D31" s="15" t="s">
        <v>17</v>
      </c>
      <c r="E31" s="15" t="s">
        <v>212</v>
      </c>
      <c r="F31" s="15" t="s">
        <v>211</v>
      </c>
      <c r="G31" s="15" t="s">
        <v>26</v>
      </c>
      <c r="H31" s="15"/>
      <c r="I31" s="15" t="s">
        <v>14</v>
      </c>
      <c r="J31" s="15" t="s">
        <v>172</v>
      </c>
      <c r="K31" s="15">
        <v>3</v>
      </c>
    </row>
    <row r="32" spans="2:15" ht="39.6" x14ac:dyDescent="0.3">
      <c r="B32" s="17" t="s">
        <v>210</v>
      </c>
      <c r="C32" s="15" t="s">
        <v>209</v>
      </c>
      <c r="D32" s="15" t="s">
        <v>39</v>
      </c>
      <c r="E32" s="15" t="s">
        <v>208</v>
      </c>
      <c r="F32" s="15" t="s">
        <v>207</v>
      </c>
      <c r="G32" s="15" t="s">
        <v>20</v>
      </c>
      <c r="H32" s="15"/>
      <c r="I32" s="15" t="s">
        <v>14</v>
      </c>
      <c r="J32" s="15" t="s">
        <v>172</v>
      </c>
      <c r="K32" s="15">
        <v>3</v>
      </c>
      <c r="O32" s="20"/>
    </row>
    <row r="33" spans="2:11" ht="39.6" x14ac:dyDescent="0.3">
      <c r="B33" s="17" t="s">
        <v>206</v>
      </c>
      <c r="C33" s="15" t="s">
        <v>205</v>
      </c>
      <c r="D33" s="15" t="s">
        <v>130</v>
      </c>
      <c r="E33" s="15" t="s">
        <v>204</v>
      </c>
      <c r="F33" s="15" t="s">
        <v>203</v>
      </c>
      <c r="G33" s="15" t="s">
        <v>13</v>
      </c>
      <c r="H33" s="15"/>
      <c r="I33" s="15" t="s">
        <v>27</v>
      </c>
      <c r="J33" s="15" t="s">
        <v>172</v>
      </c>
      <c r="K33" s="15">
        <v>3</v>
      </c>
    </row>
    <row r="34" spans="2:11" ht="39.6" x14ac:dyDescent="0.3">
      <c r="B34" s="17" t="s">
        <v>202</v>
      </c>
      <c r="C34" s="15" t="s">
        <v>201</v>
      </c>
      <c r="D34" s="15" t="s">
        <v>130</v>
      </c>
      <c r="E34" s="15" t="s">
        <v>200</v>
      </c>
      <c r="F34" s="15" t="s">
        <v>199</v>
      </c>
      <c r="G34" s="15" t="s">
        <v>26</v>
      </c>
      <c r="H34" s="15"/>
      <c r="I34" s="15" t="s">
        <v>14</v>
      </c>
      <c r="J34" s="15" t="s">
        <v>172</v>
      </c>
      <c r="K34" s="15">
        <v>2</v>
      </c>
    </row>
    <row r="35" spans="2:11" ht="15.75" customHeight="1" x14ac:dyDescent="0.3"/>
    <row r="36" spans="2:11" ht="15.75" customHeight="1" x14ac:dyDescent="0.3"/>
    <row r="37" spans="2:11" ht="15.75" customHeight="1" x14ac:dyDescent="0.3"/>
    <row r="38" spans="2:11" ht="38.25" customHeight="1" x14ac:dyDescent="0.3"/>
    <row r="39" spans="2:11" ht="40.5" customHeight="1" x14ac:dyDescent="0.3"/>
    <row r="40" spans="2:11" ht="52.5" customHeight="1" x14ac:dyDescent="0.3">
      <c r="B40" s="19" t="s">
        <v>198</v>
      </c>
    </row>
    <row r="41" spans="2:11" ht="13.8" x14ac:dyDescent="0.3"/>
    <row r="42" spans="2:11" ht="26.4" x14ac:dyDescent="0.3">
      <c r="B42" s="18" t="s">
        <v>0</v>
      </c>
      <c r="C42" s="18" t="s">
        <v>1</v>
      </c>
      <c r="D42" s="18" t="s">
        <v>2</v>
      </c>
      <c r="E42" s="18" t="s">
        <v>3</v>
      </c>
      <c r="F42" s="18" t="s">
        <v>197</v>
      </c>
      <c r="G42" s="18" t="s">
        <v>5</v>
      </c>
      <c r="H42" s="18" t="s">
        <v>196</v>
      </c>
      <c r="I42" s="18" t="s">
        <v>6</v>
      </c>
      <c r="J42" s="18" t="s">
        <v>195</v>
      </c>
      <c r="K42" s="18" t="s">
        <v>194</v>
      </c>
    </row>
    <row r="43" spans="2:11" ht="52.8" x14ac:dyDescent="0.3">
      <c r="B43" s="17" t="s">
        <v>193</v>
      </c>
      <c r="C43" s="15" t="s">
        <v>192</v>
      </c>
      <c r="D43" s="15" t="s">
        <v>17</v>
      </c>
      <c r="E43" s="15" t="s">
        <v>191</v>
      </c>
      <c r="F43" s="15" t="s">
        <v>190</v>
      </c>
      <c r="G43" s="15" t="s">
        <v>20</v>
      </c>
      <c r="H43" s="15"/>
      <c r="I43" s="15" t="s">
        <v>27</v>
      </c>
      <c r="J43" s="15" t="s">
        <v>172</v>
      </c>
      <c r="K43" s="15">
        <v>3</v>
      </c>
    </row>
    <row r="44" spans="2:11" ht="39.6" x14ac:dyDescent="0.3">
      <c r="B44" s="17" t="s">
        <v>189</v>
      </c>
      <c r="C44" s="15" t="s">
        <v>188</v>
      </c>
      <c r="D44" s="15" t="s">
        <v>17</v>
      </c>
      <c r="E44" s="15" t="s">
        <v>187</v>
      </c>
      <c r="F44" s="15" t="s">
        <v>186</v>
      </c>
      <c r="G44" s="15" t="s">
        <v>185</v>
      </c>
      <c r="H44" s="15"/>
      <c r="I44" s="15" t="s">
        <v>27</v>
      </c>
      <c r="J44" s="15" t="s">
        <v>172</v>
      </c>
      <c r="K44" s="15">
        <v>3</v>
      </c>
    </row>
    <row r="45" spans="2:11" ht="52.8" x14ac:dyDescent="0.3">
      <c r="B45" s="17" t="s">
        <v>184</v>
      </c>
      <c r="C45" s="15" t="s">
        <v>183</v>
      </c>
      <c r="D45" s="15" t="s">
        <v>17</v>
      </c>
      <c r="E45" s="15" t="s">
        <v>182</v>
      </c>
      <c r="F45" s="15" t="s">
        <v>181</v>
      </c>
      <c r="G45" s="15" t="s">
        <v>13</v>
      </c>
      <c r="H45" s="15"/>
      <c r="I45" s="15" t="s">
        <v>14</v>
      </c>
      <c r="J45" s="15" t="s">
        <v>172</v>
      </c>
      <c r="K45" s="15">
        <v>3</v>
      </c>
    </row>
    <row r="46" spans="2:11" ht="39.6" x14ac:dyDescent="0.3">
      <c r="B46" s="17" t="s">
        <v>180</v>
      </c>
      <c r="C46" s="15" t="s">
        <v>179</v>
      </c>
      <c r="D46" s="15" t="s">
        <v>39</v>
      </c>
      <c r="E46" s="15" t="s">
        <v>178</v>
      </c>
      <c r="F46" s="15" t="s">
        <v>177</v>
      </c>
      <c r="G46" s="15" t="s">
        <v>26</v>
      </c>
      <c r="H46" s="15"/>
      <c r="I46" s="15" t="s">
        <v>14</v>
      </c>
      <c r="J46" s="15" t="s">
        <v>172</v>
      </c>
      <c r="K46" s="15">
        <v>2</v>
      </c>
    </row>
    <row r="47" spans="2:11" ht="40.200000000000003" x14ac:dyDescent="0.3">
      <c r="B47" s="17" t="s">
        <v>176</v>
      </c>
      <c r="C47" s="16" t="s">
        <v>175</v>
      </c>
      <c r="D47" s="16" t="s">
        <v>17</v>
      </c>
      <c r="E47" s="16" t="s">
        <v>174</v>
      </c>
      <c r="F47" s="16" t="s">
        <v>173</v>
      </c>
      <c r="G47" s="15" t="s">
        <v>26</v>
      </c>
      <c r="H47" s="15"/>
      <c r="I47" s="15" t="s">
        <v>14</v>
      </c>
      <c r="J47" s="15" t="s">
        <v>172</v>
      </c>
      <c r="K47" s="15">
        <v>1</v>
      </c>
    </row>
    <row r="48" spans="2:11" ht="15.75" customHeight="1" x14ac:dyDescent="0.3"/>
    <row r="49" s="6" customFormat="1" ht="15.75" customHeight="1" x14ac:dyDescent="0.3"/>
    <row r="50" s="6" customFormat="1" ht="15.75" customHeight="1" x14ac:dyDescent="0.3"/>
    <row r="51" s="6" customFormat="1" ht="15.75" customHeight="1" x14ac:dyDescent="0.3"/>
    <row r="52" s="6" customFormat="1" ht="15.75" customHeight="1" x14ac:dyDescent="0.3"/>
    <row r="53" s="6" customFormat="1" ht="15.75" customHeight="1" x14ac:dyDescent="0.3"/>
    <row r="54" s="6" customFormat="1" ht="15.75" customHeight="1" x14ac:dyDescent="0.3"/>
    <row r="55" s="6" customFormat="1" ht="15.75" customHeight="1" x14ac:dyDescent="0.3"/>
    <row r="56" s="6" customFormat="1" ht="15.75" customHeight="1" x14ac:dyDescent="0.3"/>
    <row r="57" s="6" customFormat="1" ht="15.75" customHeight="1" x14ac:dyDescent="0.3"/>
    <row r="58" s="6" customFormat="1" ht="15.75" customHeight="1" x14ac:dyDescent="0.3"/>
    <row r="59" s="6" customFormat="1" ht="15.75" customHeight="1" x14ac:dyDescent="0.3"/>
    <row r="60" s="6" customFormat="1" ht="15.75" customHeight="1" x14ac:dyDescent="0.3"/>
    <row r="61" s="6" customFormat="1" ht="15.75" customHeight="1" x14ac:dyDescent="0.3"/>
    <row r="62" s="6" customFormat="1" ht="15.75" customHeight="1" x14ac:dyDescent="0.3"/>
    <row r="63" s="6" customFormat="1" ht="15.75" customHeight="1" x14ac:dyDescent="0.3"/>
    <row r="64" s="6" customFormat="1" ht="15.75" customHeight="1" x14ac:dyDescent="0.3"/>
    <row r="65" s="6" customFormat="1" ht="15.75" customHeight="1" x14ac:dyDescent="0.3"/>
    <row r="66" s="6" customFormat="1" ht="15.75" customHeight="1" x14ac:dyDescent="0.3"/>
    <row r="67" s="6" customFormat="1" ht="15.75" customHeight="1" x14ac:dyDescent="0.3"/>
    <row r="68" s="6" customFormat="1" ht="15.75" customHeight="1" x14ac:dyDescent="0.3"/>
    <row r="69" s="6" customFormat="1" ht="15.75" customHeight="1" x14ac:dyDescent="0.3"/>
    <row r="70" s="6" customFormat="1" ht="15.75" customHeight="1" x14ac:dyDescent="0.3"/>
    <row r="71" s="6" customFormat="1" ht="15.75" customHeight="1" x14ac:dyDescent="0.3"/>
    <row r="72" s="6" customFormat="1" ht="15.75" customHeight="1" x14ac:dyDescent="0.3"/>
    <row r="73" s="6" customFormat="1" ht="15.75" customHeight="1" x14ac:dyDescent="0.3"/>
    <row r="74" s="6" customFormat="1" ht="15.75" customHeight="1" x14ac:dyDescent="0.3"/>
    <row r="75" s="6" customFormat="1" ht="15.75" customHeight="1" x14ac:dyDescent="0.3"/>
    <row r="76" s="6" customFormat="1" ht="15.75" customHeight="1" x14ac:dyDescent="0.3"/>
    <row r="77" s="6" customFormat="1" ht="15.75" customHeight="1" x14ac:dyDescent="0.3"/>
    <row r="78" s="6" customFormat="1" ht="15.75" customHeight="1" x14ac:dyDescent="0.3"/>
    <row r="79" s="6" customFormat="1" ht="15.75" customHeight="1" x14ac:dyDescent="0.3"/>
    <row r="80" s="6" customFormat="1" ht="15.75" customHeight="1" x14ac:dyDescent="0.3"/>
    <row r="81" s="6" customFormat="1" ht="15.75" customHeight="1" x14ac:dyDescent="0.3"/>
    <row r="82" s="6" customFormat="1" ht="15.75" customHeight="1" x14ac:dyDescent="0.3"/>
    <row r="83" s="6" customFormat="1" ht="15.75" customHeight="1" x14ac:dyDescent="0.3"/>
    <row r="84" s="6" customFormat="1" ht="15.75" customHeight="1" x14ac:dyDescent="0.3"/>
    <row r="85" s="6" customFormat="1" ht="15.75" customHeight="1" x14ac:dyDescent="0.3"/>
    <row r="86" s="6" customFormat="1" ht="15.75" customHeight="1" x14ac:dyDescent="0.3"/>
    <row r="87" s="6" customFormat="1" ht="15.75" customHeight="1" x14ac:dyDescent="0.3"/>
    <row r="88" s="6" customFormat="1" ht="15.75" customHeight="1" x14ac:dyDescent="0.3"/>
    <row r="89" s="6" customFormat="1" ht="15.75" customHeight="1" x14ac:dyDescent="0.3"/>
    <row r="90" s="6" customFormat="1" ht="15.75" customHeight="1" x14ac:dyDescent="0.3"/>
    <row r="91" s="6" customFormat="1" ht="15.75" customHeight="1" x14ac:dyDescent="0.3"/>
    <row r="92" s="6" customFormat="1" ht="15.75" customHeight="1" x14ac:dyDescent="0.3"/>
    <row r="93" s="6" customFormat="1" ht="15.75" customHeight="1" x14ac:dyDescent="0.3"/>
    <row r="94" s="6" customFormat="1" ht="15.75" customHeight="1" x14ac:dyDescent="0.3"/>
    <row r="95" s="6" customFormat="1" ht="15.75" customHeight="1" x14ac:dyDescent="0.3"/>
    <row r="96" s="6" customFormat="1" ht="15.75" customHeight="1" x14ac:dyDescent="0.3"/>
    <row r="97" s="6" customFormat="1" ht="15.75" customHeight="1" x14ac:dyDescent="0.3"/>
    <row r="98" s="6" customFormat="1" ht="15.75" customHeight="1" x14ac:dyDescent="0.3"/>
    <row r="99" s="6" customFormat="1" ht="15.75" customHeight="1" x14ac:dyDescent="0.3"/>
    <row r="100" s="6" customFormat="1" ht="15.75" customHeight="1" x14ac:dyDescent="0.3"/>
    <row r="101" s="6" customFormat="1" ht="15.75" customHeight="1" x14ac:dyDescent="0.3"/>
    <row r="102" s="6" customFormat="1" ht="15.75" customHeight="1" x14ac:dyDescent="0.3"/>
    <row r="103" s="6" customFormat="1" ht="15.75" customHeight="1" x14ac:dyDescent="0.3"/>
    <row r="104" s="6" customFormat="1" ht="15.75" customHeight="1" x14ac:dyDescent="0.3"/>
    <row r="105" s="6" customFormat="1" ht="15.75" customHeight="1" x14ac:dyDescent="0.3"/>
    <row r="106" s="6" customFormat="1" ht="15.75" customHeight="1" x14ac:dyDescent="0.3"/>
    <row r="107" s="6" customFormat="1" ht="15.75" customHeight="1" x14ac:dyDescent="0.3"/>
    <row r="108" s="6" customFormat="1" ht="15.75" customHeight="1" x14ac:dyDescent="0.3"/>
    <row r="109" s="6" customFormat="1" ht="15.75" customHeight="1" x14ac:dyDescent="0.3"/>
    <row r="110" s="6" customFormat="1" ht="15.75" customHeight="1" x14ac:dyDescent="0.3"/>
    <row r="111" s="6" customFormat="1" ht="15.75" customHeight="1" x14ac:dyDescent="0.3"/>
    <row r="112" s="6" customFormat="1" ht="15.75" customHeight="1" x14ac:dyDescent="0.3"/>
    <row r="113" s="6" customFormat="1" ht="15.75" customHeight="1" x14ac:dyDescent="0.3"/>
    <row r="114" s="6" customFormat="1" ht="15.75" customHeight="1" x14ac:dyDescent="0.3"/>
    <row r="115" s="6" customFormat="1" ht="15.75" customHeight="1" x14ac:dyDescent="0.3"/>
    <row r="116" s="6" customFormat="1" ht="15.75" customHeight="1" x14ac:dyDescent="0.3"/>
    <row r="117" s="6" customFormat="1" ht="15.75" customHeight="1" x14ac:dyDescent="0.3"/>
    <row r="118" s="6" customFormat="1" ht="15.75" customHeight="1" x14ac:dyDescent="0.3"/>
    <row r="119" s="6" customFormat="1" ht="15.75" customHeight="1" x14ac:dyDescent="0.3"/>
    <row r="120" s="6" customFormat="1" ht="15.75" customHeight="1" x14ac:dyDescent="0.3"/>
    <row r="121" s="6" customFormat="1" ht="15.75" customHeight="1" x14ac:dyDescent="0.3"/>
    <row r="122" s="6" customFormat="1" ht="15.75" customHeight="1" x14ac:dyDescent="0.3"/>
    <row r="123" s="6" customFormat="1" ht="15.75" customHeight="1" x14ac:dyDescent="0.3"/>
    <row r="124" s="6" customFormat="1" ht="15.75" customHeight="1" x14ac:dyDescent="0.3"/>
    <row r="125" s="6" customFormat="1" ht="15.75" customHeight="1" x14ac:dyDescent="0.3"/>
    <row r="126" s="6" customFormat="1" ht="15.75" customHeight="1" x14ac:dyDescent="0.3"/>
    <row r="127" s="6" customFormat="1" ht="15.75" customHeight="1" x14ac:dyDescent="0.3"/>
    <row r="128" s="6" customFormat="1" ht="15.75" customHeight="1" x14ac:dyDescent="0.3"/>
    <row r="129" s="6" customFormat="1" ht="15.75" customHeight="1" x14ac:dyDescent="0.3"/>
    <row r="130" s="6" customFormat="1" ht="15.75" customHeight="1" x14ac:dyDescent="0.3"/>
    <row r="131" s="6" customFormat="1" ht="15.75" customHeight="1" x14ac:dyDescent="0.3"/>
    <row r="132" s="6" customFormat="1" ht="15.75" customHeight="1" x14ac:dyDescent="0.3"/>
    <row r="133" s="6" customFormat="1" ht="15.75" customHeight="1" x14ac:dyDescent="0.3"/>
    <row r="134" s="6" customFormat="1" ht="15.75" customHeight="1" x14ac:dyDescent="0.3"/>
    <row r="135" s="6" customFormat="1" ht="15.75" customHeight="1" x14ac:dyDescent="0.3"/>
    <row r="136" s="6" customFormat="1" ht="15.75" customHeight="1" x14ac:dyDescent="0.3"/>
    <row r="137" s="6" customFormat="1" ht="15.75" customHeight="1" x14ac:dyDescent="0.3"/>
    <row r="138" s="6" customFormat="1" ht="15.75" customHeight="1" x14ac:dyDescent="0.3"/>
    <row r="139" s="6" customFormat="1" ht="15.75" customHeight="1" x14ac:dyDescent="0.3"/>
    <row r="140" s="6" customFormat="1" ht="15.75" customHeight="1" x14ac:dyDescent="0.3"/>
    <row r="141" s="6" customFormat="1" ht="15.75" customHeight="1" x14ac:dyDescent="0.3"/>
    <row r="142" s="6" customFormat="1" ht="15.75" customHeight="1" x14ac:dyDescent="0.3"/>
    <row r="143" s="6" customFormat="1" ht="15.75" customHeight="1" x14ac:dyDescent="0.3"/>
    <row r="144" s="6" customFormat="1" ht="15.75" customHeight="1" x14ac:dyDescent="0.3"/>
    <row r="145" s="6" customFormat="1" ht="15.75" customHeight="1" x14ac:dyDescent="0.3"/>
    <row r="146" s="6" customFormat="1" ht="15.75" customHeight="1" x14ac:dyDescent="0.3"/>
    <row r="147" s="6" customFormat="1" ht="15.75" customHeight="1" x14ac:dyDescent="0.3"/>
    <row r="148" s="6" customFormat="1" ht="15.75" customHeight="1" x14ac:dyDescent="0.3"/>
    <row r="149" s="6" customFormat="1" ht="15.75" customHeight="1" x14ac:dyDescent="0.3"/>
    <row r="150" s="6" customFormat="1" ht="15.75" customHeight="1" x14ac:dyDescent="0.3"/>
    <row r="151" s="6" customFormat="1" ht="15.75" customHeight="1" x14ac:dyDescent="0.3"/>
    <row r="152" s="6" customFormat="1" ht="15.75" customHeight="1" x14ac:dyDescent="0.3"/>
    <row r="153" s="6" customFormat="1" ht="15.75" customHeight="1" x14ac:dyDescent="0.3"/>
    <row r="154" s="6" customFormat="1" ht="15.75" customHeight="1" x14ac:dyDescent="0.3"/>
    <row r="155" s="6" customFormat="1" ht="15.75" customHeight="1" x14ac:dyDescent="0.3"/>
    <row r="156" s="6" customFormat="1" ht="15.75" customHeight="1" x14ac:dyDescent="0.3"/>
    <row r="157" s="6" customFormat="1" ht="15.75" customHeight="1" x14ac:dyDescent="0.3"/>
    <row r="158" s="6" customFormat="1" ht="15.75" customHeight="1" x14ac:dyDescent="0.3"/>
    <row r="159" s="6" customFormat="1" ht="15.75" customHeight="1" x14ac:dyDescent="0.3"/>
    <row r="160" s="6" customFormat="1" ht="15.75" customHeight="1" x14ac:dyDescent="0.3"/>
    <row r="161" s="6" customFormat="1" ht="15.75" customHeight="1" x14ac:dyDescent="0.3"/>
    <row r="162" s="6" customFormat="1" ht="15.75" customHeight="1" x14ac:dyDescent="0.3"/>
    <row r="163" s="6" customFormat="1" ht="15.75" customHeight="1" x14ac:dyDescent="0.3"/>
    <row r="164" s="6" customFormat="1" ht="15.75" customHeight="1" x14ac:dyDescent="0.3"/>
    <row r="165" s="6" customFormat="1" ht="15.75" customHeight="1" x14ac:dyDescent="0.3"/>
    <row r="166" s="6" customFormat="1" ht="15.75" customHeight="1" x14ac:dyDescent="0.3"/>
    <row r="167" s="6" customFormat="1" ht="15.75" customHeight="1" x14ac:dyDescent="0.3"/>
    <row r="168" s="6" customFormat="1" ht="15.75" customHeight="1" x14ac:dyDescent="0.3"/>
    <row r="169" s="6" customFormat="1" ht="15.75" customHeight="1" x14ac:dyDescent="0.3"/>
    <row r="170" s="6" customFormat="1" ht="15.75" customHeight="1" x14ac:dyDescent="0.3"/>
    <row r="171" s="6" customFormat="1" ht="15.75" customHeight="1" x14ac:dyDescent="0.3"/>
    <row r="172" s="6" customFormat="1" ht="15.75" customHeight="1" x14ac:dyDescent="0.3"/>
    <row r="173" s="6" customFormat="1" ht="15.75" customHeight="1" x14ac:dyDescent="0.3"/>
    <row r="174" s="6" customFormat="1" ht="15.75" customHeight="1" x14ac:dyDescent="0.3"/>
    <row r="175" s="6" customFormat="1" ht="15.75" customHeight="1" x14ac:dyDescent="0.3"/>
    <row r="176" s="6" customFormat="1" ht="15.75" customHeight="1" x14ac:dyDescent="0.3"/>
    <row r="177" s="6" customFormat="1" ht="15.75" customHeight="1" x14ac:dyDescent="0.3"/>
    <row r="178" s="6" customFormat="1" ht="15.75" customHeight="1" x14ac:dyDescent="0.3"/>
    <row r="179" s="6" customFormat="1" ht="15.75" customHeight="1" x14ac:dyDescent="0.3"/>
    <row r="180" s="6" customFormat="1" ht="15.75" customHeight="1" x14ac:dyDescent="0.3"/>
    <row r="181" s="6" customFormat="1" ht="15.75" customHeight="1" x14ac:dyDescent="0.3"/>
    <row r="182" s="6" customFormat="1" ht="15.75" customHeight="1" x14ac:dyDescent="0.3"/>
    <row r="183" s="6" customFormat="1" ht="15.75" customHeight="1" x14ac:dyDescent="0.3"/>
    <row r="184" s="6" customFormat="1" ht="15.75" customHeight="1" x14ac:dyDescent="0.3"/>
    <row r="185" s="6" customFormat="1" ht="15.75" customHeight="1" x14ac:dyDescent="0.3"/>
    <row r="186" s="6" customFormat="1" ht="15.75" customHeight="1" x14ac:dyDescent="0.3"/>
    <row r="187" s="6" customFormat="1" ht="15.75" customHeight="1" x14ac:dyDescent="0.3"/>
    <row r="188" s="6" customFormat="1" ht="15.75" customHeight="1" x14ac:dyDescent="0.3"/>
    <row r="189" s="6" customFormat="1" ht="15.75" customHeight="1" x14ac:dyDescent="0.3"/>
    <row r="190" s="6" customFormat="1" ht="15.75" customHeight="1" x14ac:dyDescent="0.3"/>
    <row r="191" s="6" customFormat="1" ht="15.75" customHeight="1" x14ac:dyDescent="0.3"/>
    <row r="192" s="6" customFormat="1" ht="15.75" customHeight="1" x14ac:dyDescent="0.3"/>
    <row r="193" s="6" customFormat="1" ht="15.75" customHeight="1" x14ac:dyDescent="0.3"/>
    <row r="194" s="6" customFormat="1" ht="15.75" customHeight="1" x14ac:dyDescent="0.3"/>
    <row r="195" s="6" customFormat="1" ht="15.75" customHeight="1" x14ac:dyDescent="0.3"/>
    <row r="196" s="6" customFormat="1" ht="15.75" customHeight="1" x14ac:dyDescent="0.3"/>
    <row r="197" s="6" customFormat="1" ht="15.75" customHeight="1" x14ac:dyDescent="0.3"/>
    <row r="198" s="6" customFormat="1" ht="15.75" customHeight="1" x14ac:dyDescent="0.3"/>
    <row r="199" s="6" customFormat="1" ht="15.75" customHeight="1" x14ac:dyDescent="0.3"/>
    <row r="200" s="6" customFormat="1" ht="15.75" customHeight="1" x14ac:dyDescent="0.3"/>
    <row r="201" s="6" customFormat="1" ht="15.75" customHeight="1" x14ac:dyDescent="0.3"/>
    <row r="202" s="6" customFormat="1" ht="15.75" customHeight="1" x14ac:dyDescent="0.3"/>
    <row r="203" s="6" customFormat="1" ht="15.75" customHeight="1" x14ac:dyDescent="0.3"/>
    <row r="204" s="6" customFormat="1" ht="15.75" customHeight="1" x14ac:dyDescent="0.3"/>
    <row r="205" s="6" customFormat="1" ht="15.75" customHeight="1" x14ac:dyDescent="0.3"/>
    <row r="206" s="6" customFormat="1" ht="15.75" customHeight="1" x14ac:dyDescent="0.3"/>
    <row r="207" s="6" customFormat="1" ht="15.75" customHeight="1" x14ac:dyDescent="0.3"/>
    <row r="208" s="6" customFormat="1" ht="15.75" customHeight="1" x14ac:dyDescent="0.3"/>
    <row r="209" s="6" customFormat="1" ht="15.75" customHeight="1" x14ac:dyDescent="0.3"/>
    <row r="210" s="6" customFormat="1" ht="15.75" customHeight="1" x14ac:dyDescent="0.3"/>
    <row r="211" s="6" customFormat="1" ht="15.75" customHeight="1" x14ac:dyDescent="0.3"/>
    <row r="212" s="6" customFormat="1" ht="15.75" customHeight="1" x14ac:dyDescent="0.3"/>
    <row r="213" s="6" customFormat="1" ht="15.75" customHeight="1" x14ac:dyDescent="0.3"/>
    <row r="214" s="6" customFormat="1" ht="15.75" customHeight="1" x14ac:dyDescent="0.3"/>
    <row r="215" s="6" customFormat="1" ht="15.75" customHeight="1" x14ac:dyDescent="0.3"/>
    <row r="216" s="6" customFormat="1" ht="15.75" customHeight="1" x14ac:dyDescent="0.3"/>
    <row r="217" s="6" customFormat="1" ht="15.75" customHeight="1" x14ac:dyDescent="0.3"/>
    <row r="218" s="6" customFormat="1" ht="15.75" customHeight="1" x14ac:dyDescent="0.3"/>
    <row r="219" s="6" customFormat="1" ht="15.75" customHeight="1" x14ac:dyDescent="0.3"/>
    <row r="220" s="6" customFormat="1" ht="15.75" customHeight="1" x14ac:dyDescent="0.3"/>
    <row r="221" s="6" customFormat="1" ht="15.75" customHeight="1" x14ac:dyDescent="0.3"/>
    <row r="222" s="6" customFormat="1" ht="15.75" customHeight="1" x14ac:dyDescent="0.3"/>
    <row r="223" s="6" customFormat="1" ht="15.75" customHeight="1" x14ac:dyDescent="0.3"/>
    <row r="224" s="6" customFormat="1" ht="15.75" customHeight="1" x14ac:dyDescent="0.3"/>
    <row r="225" s="6" customFormat="1" ht="15.75" customHeight="1" x14ac:dyDescent="0.3"/>
    <row r="226" s="6" customFormat="1" ht="15.75" customHeight="1" x14ac:dyDescent="0.3"/>
    <row r="227" s="6" customFormat="1" ht="15.75" customHeight="1" x14ac:dyDescent="0.3"/>
    <row r="228" s="6" customFormat="1" ht="15.75" customHeight="1" x14ac:dyDescent="0.3"/>
    <row r="229" s="6" customFormat="1" ht="15.75" customHeight="1" x14ac:dyDescent="0.3"/>
    <row r="230" s="6" customFormat="1" ht="15.75" customHeight="1" x14ac:dyDescent="0.3"/>
    <row r="231" s="6" customFormat="1" ht="15.75" customHeight="1" x14ac:dyDescent="0.3"/>
    <row r="232" s="6" customFormat="1" ht="15.75" customHeight="1" x14ac:dyDescent="0.3"/>
    <row r="233" s="6" customFormat="1" ht="15.75" customHeight="1" x14ac:dyDescent="0.3"/>
    <row r="234" s="6" customFormat="1" ht="15.75" customHeight="1" x14ac:dyDescent="0.3"/>
    <row r="235" s="6" customFormat="1" ht="15.75" customHeight="1" x14ac:dyDescent="0.3"/>
    <row r="236" s="6" customFormat="1" ht="15.75" customHeight="1" x14ac:dyDescent="0.3"/>
    <row r="237" s="6" customFormat="1" ht="15.75" customHeight="1" x14ac:dyDescent="0.3"/>
    <row r="238" s="6" customFormat="1" ht="15.75" customHeight="1" x14ac:dyDescent="0.3"/>
    <row r="239" s="6" customFormat="1" ht="15.75" customHeight="1" x14ac:dyDescent="0.3"/>
    <row r="240" s="6" customFormat="1" ht="15.75" customHeight="1" x14ac:dyDescent="0.3"/>
    <row r="241" s="6" customFormat="1" ht="15.75" customHeight="1" x14ac:dyDescent="0.3"/>
    <row r="242" s="6" customFormat="1" ht="15.75" customHeight="1" x14ac:dyDescent="0.3"/>
    <row r="243" s="6" customFormat="1" ht="15.75" customHeight="1" x14ac:dyDescent="0.3"/>
    <row r="244" s="6" customFormat="1" ht="15.75" customHeight="1" x14ac:dyDescent="0.3"/>
    <row r="245" s="6" customFormat="1" ht="15.75" customHeight="1" x14ac:dyDescent="0.3"/>
    <row r="246" s="6" customFormat="1" ht="15.75" customHeight="1" x14ac:dyDescent="0.3"/>
    <row r="247" s="6" customFormat="1" ht="15.75" customHeight="1" x14ac:dyDescent="0.3"/>
    <row r="248" s="6" customFormat="1" ht="15.75" customHeight="1" x14ac:dyDescent="0.3"/>
    <row r="249" s="6" customFormat="1" ht="15.75" customHeight="1" x14ac:dyDescent="0.3"/>
    <row r="250" s="6" customFormat="1" ht="15.75" customHeight="1" x14ac:dyDescent="0.3"/>
    <row r="251" s="6" customFormat="1" ht="15.75" customHeight="1" x14ac:dyDescent="0.3"/>
    <row r="252" s="6" customFormat="1" ht="15.75" customHeight="1" x14ac:dyDescent="0.3"/>
    <row r="253" s="6" customFormat="1" ht="15.75" customHeight="1" x14ac:dyDescent="0.3"/>
    <row r="254" s="6" customFormat="1" ht="15.75" customHeight="1" x14ac:dyDescent="0.3"/>
    <row r="255" s="6" customFormat="1" ht="15.75" customHeight="1" x14ac:dyDescent="0.3"/>
    <row r="256" s="6" customFormat="1" ht="15.75" customHeight="1" x14ac:dyDescent="0.3"/>
    <row r="257" s="6" customFormat="1" ht="15.75" customHeight="1" x14ac:dyDescent="0.3"/>
    <row r="258" s="6" customFormat="1" ht="15.75" customHeight="1" x14ac:dyDescent="0.3"/>
    <row r="259" s="6" customFormat="1" ht="15.75" customHeight="1" x14ac:dyDescent="0.3"/>
    <row r="260" s="6" customFormat="1" ht="15.75" customHeight="1" x14ac:dyDescent="0.3"/>
    <row r="261" s="6" customFormat="1" ht="15.75" customHeight="1" x14ac:dyDescent="0.3"/>
    <row r="262" s="6" customFormat="1" ht="15.75" customHeight="1" x14ac:dyDescent="0.3"/>
    <row r="263" s="6" customFormat="1" ht="15.75" customHeight="1" x14ac:dyDescent="0.3"/>
    <row r="264" s="6" customFormat="1" ht="15.75" customHeight="1" x14ac:dyDescent="0.3"/>
    <row r="265" s="6" customFormat="1" ht="15.75" customHeight="1" x14ac:dyDescent="0.3"/>
    <row r="266" s="6" customFormat="1" ht="15.75" customHeight="1" x14ac:dyDescent="0.3"/>
    <row r="267" s="6" customFormat="1" ht="15.75" customHeight="1" x14ac:dyDescent="0.3"/>
    <row r="268" s="6" customFormat="1" ht="15.75" customHeight="1" x14ac:dyDescent="0.3"/>
    <row r="269" s="6" customFormat="1" ht="15.75" customHeight="1" x14ac:dyDescent="0.3"/>
    <row r="270" s="6" customFormat="1" ht="15.75" customHeight="1" x14ac:dyDescent="0.3"/>
    <row r="271" s="6" customFormat="1" ht="15.75" customHeight="1" x14ac:dyDescent="0.3"/>
    <row r="272" s="6" customFormat="1" ht="15.75" customHeight="1" x14ac:dyDescent="0.3"/>
    <row r="273" s="6" customFormat="1" ht="15.75" customHeight="1" x14ac:dyDescent="0.3"/>
    <row r="274" s="6" customFormat="1" ht="15.75" customHeight="1" x14ac:dyDescent="0.3"/>
    <row r="275" s="6" customFormat="1" ht="15.75" customHeight="1" x14ac:dyDescent="0.3"/>
    <row r="276" s="6" customFormat="1" ht="15.75" customHeight="1" x14ac:dyDescent="0.3"/>
    <row r="277" s="6" customFormat="1" ht="15.75" customHeight="1" x14ac:dyDescent="0.3"/>
    <row r="278" s="6" customFormat="1" ht="15.75" customHeight="1" x14ac:dyDescent="0.3"/>
    <row r="279" s="6" customFormat="1" ht="15.75" customHeight="1" x14ac:dyDescent="0.3"/>
    <row r="280" s="6" customFormat="1" ht="15.75" customHeight="1" x14ac:dyDescent="0.3"/>
    <row r="281" s="6" customFormat="1" ht="15.75" customHeight="1" x14ac:dyDescent="0.3"/>
    <row r="282" s="6" customFormat="1" ht="15.75" customHeight="1" x14ac:dyDescent="0.3"/>
    <row r="283" s="6" customFormat="1" ht="15.75" customHeight="1" x14ac:dyDescent="0.3"/>
    <row r="284" s="6" customFormat="1" ht="15.75" customHeight="1" x14ac:dyDescent="0.3"/>
    <row r="285" s="6" customFormat="1" ht="15.75" customHeight="1" x14ac:dyDescent="0.3"/>
    <row r="286" s="6" customFormat="1" ht="15.75" customHeight="1" x14ac:dyDescent="0.3"/>
    <row r="287" s="6" customFormat="1" ht="15.75" customHeight="1" x14ac:dyDescent="0.3"/>
    <row r="288" s="6" customFormat="1" ht="15.75" customHeight="1" x14ac:dyDescent="0.3"/>
    <row r="289" s="6" customFormat="1" ht="15.75" customHeight="1" x14ac:dyDescent="0.3"/>
    <row r="290" s="6" customFormat="1" ht="15.75" customHeight="1" x14ac:dyDescent="0.3"/>
    <row r="291" s="6" customFormat="1" ht="15.75" customHeight="1" x14ac:dyDescent="0.3"/>
    <row r="292" s="6" customFormat="1" ht="15.75" customHeight="1" x14ac:dyDescent="0.3"/>
    <row r="293" s="6" customFormat="1" ht="15.75" customHeight="1" x14ac:dyDescent="0.3"/>
    <row r="294" s="6" customFormat="1" ht="15.75" customHeight="1" x14ac:dyDescent="0.3"/>
    <row r="295" s="6" customFormat="1" ht="15.75" customHeight="1" x14ac:dyDescent="0.3"/>
    <row r="296" s="6" customFormat="1" ht="15.75" customHeight="1" x14ac:dyDescent="0.3"/>
    <row r="297" s="6" customFormat="1" ht="15.75" customHeight="1" x14ac:dyDescent="0.3"/>
    <row r="298" s="6" customFormat="1" ht="15.75" customHeight="1" x14ac:dyDescent="0.3"/>
    <row r="299" s="6" customFormat="1" ht="15.75" customHeight="1" x14ac:dyDescent="0.3"/>
    <row r="300" s="6" customFormat="1" ht="15.75" customHeight="1" x14ac:dyDescent="0.3"/>
    <row r="301" s="6" customFormat="1" ht="15.75" customHeight="1" x14ac:dyDescent="0.3"/>
    <row r="302" s="6" customFormat="1" ht="15.75" customHeight="1" x14ac:dyDescent="0.3"/>
    <row r="303" s="6" customFormat="1" ht="15.75" customHeight="1" x14ac:dyDescent="0.3"/>
    <row r="304" s="6" customFormat="1" ht="15.75" customHeight="1" x14ac:dyDescent="0.3"/>
    <row r="305" s="6" customFormat="1" ht="15.75" customHeight="1" x14ac:dyDescent="0.3"/>
    <row r="306" s="6" customFormat="1" ht="15.75" customHeight="1" x14ac:dyDescent="0.3"/>
    <row r="307" s="6" customFormat="1" ht="15.75" customHeight="1" x14ac:dyDescent="0.3"/>
    <row r="308" s="6" customFormat="1" ht="15.75" customHeight="1" x14ac:dyDescent="0.3"/>
    <row r="309" s="6" customFormat="1" ht="15.75" customHeight="1" x14ac:dyDescent="0.3"/>
    <row r="310" s="6" customFormat="1" ht="15.75" customHeight="1" x14ac:dyDescent="0.3"/>
    <row r="311" s="6" customFormat="1" ht="15.75" customHeight="1" x14ac:dyDescent="0.3"/>
    <row r="312" s="6" customFormat="1" ht="15.75" customHeight="1" x14ac:dyDescent="0.3"/>
    <row r="313" s="6" customFormat="1" ht="15.75" customHeight="1" x14ac:dyDescent="0.3"/>
    <row r="314" s="6" customFormat="1" ht="15.75" customHeight="1" x14ac:dyDescent="0.3"/>
    <row r="315" s="6" customFormat="1" ht="15.75" customHeight="1" x14ac:dyDescent="0.3"/>
    <row r="316" s="6" customFormat="1" ht="15.75" customHeight="1" x14ac:dyDescent="0.3"/>
    <row r="317" s="6" customFormat="1" ht="15.75" customHeight="1" x14ac:dyDescent="0.3"/>
    <row r="318" s="6" customFormat="1" ht="15.75" customHeight="1" x14ac:dyDescent="0.3"/>
    <row r="319" s="6" customFormat="1" ht="15.75" customHeight="1" x14ac:dyDescent="0.3"/>
    <row r="320" s="6" customFormat="1" ht="15.75" customHeight="1" x14ac:dyDescent="0.3"/>
    <row r="321" s="6" customFormat="1" ht="15.75" customHeight="1" x14ac:dyDescent="0.3"/>
    <row r="322" s="6" customFormat="1" ht="15.75" customHeight="1" x14ac:dyDescent="0.3"/>
    <row r="323" s="6" customFormat="1" ht="15.75" customHeight="1" x14ac:dyDescent="0.3"/>
    <row r="324" s="6" customFormat="1" ht="15.75" customHeight="1" x14ac:dyDescent="0.3"/>
    <row r="325" s="6" customFormat="1" ht="15.75" customHeight="1" x14ac:dyDescent="0.3"/>
    <row r="326" s="6" customFormat="1" ht="15.75" customHeight="1" x14ac:dyDescent="0.3"/>
    <row r="327" s="6" customFormat="1" ht="15.75" customHeight="1" x14ac:dyDescent="0.3"/>
    <row r="328" s="6" customFormat="1" ht="15.75" customHeight="1" x14ac:dyDescent="0.3"/>
    <row r="329" s="6" customFormat="1" ht="15.75" customHeight="1" x14ac:dyDescent="0.3"/>
    <row r="330" s="6" customFormat="1" ht="15.75" customHeight="1" x14ac:dyDescent="0.3"/>
    <row r="331" s="6" customFormat="1" ht="15.75" customHeight="1" x14ac:dyDescent="0.3"/>
    <row r="332" s="6" customFormat="1" ht="15.75" customHeight="1" x14ac:dyDescent="0.3"/>
    <row r="333" s="6" customFormat="1" ht="15.75" customHeight="1" x14ac:dyDescent="0.3"/>
    <row r="334" s="6" customFormat="1" ht="15.75" customHeight="1" x14ac:dyDescent="0.3"/>
    <row r="335" s="6" customFormat="1" ht="15.75" customHeight="1" x14ac:dyDescent="0.3"/>
    <row r="336" s="6" customFormat="1" ht="15.75" customHeight="1" x14ac:dyDescent="0.3"/>
    <row r="337" s="6" customFormat="1" ht="15.75" customHeight="1" x14ac:dyDescent="0.3"/>
    <row r="338" s="6" customFormat="1" ht="15.75" customHeight="1" x14ac:dyDescent="0.3"/>
    <row r="339" s="6" customFormat="1" ht="15.75" customHeight="1" x14ac:dyDescent="0.3"/>
    <row r="340" s="6" customFormat="1" ht="15.75" customHeight="1" x14ac:dyDescent="0.3"/>
    <row r="341" s="6" customFormat="1" ht="15.75" customHeight="1" x14ac:dyDescent="0.3"/>
    <row r="342" s="6" customFormat="1" ht="15.75" customHeight="1" x14ac:dyDescent="0.3"/>
    <row r="343" s="6" customFormat="1" ht="15.75" customHeight="1" x14ac:dyDescent="0.3"/>
    <row r="344" s="6" customFormat="1" ht="15.75" customHeight="1" x14ac:dyDescent="0.3"/>
    <row r="345" s="6" customFormat="1" ht="15.75" customHeight="1" x14ac:dyDescent="0.3"/>
    <row r="346" s="6" customFormat="1" ht="15.75" customHeight="1" x14ac:dyDescent="0.3"/>
    <row r="347" s="6" customFormat="1" ht="15.75" customHeight="1" x14ac:dyDescent="0.3"/>
    <row r="348" s="6" customFormat="1" ht="15.75" customHeight="1" x14ac:dyDescent="0.3"/>
    <row r="349" s="6" customFormat="1" ht="15.75" customHeight="1" x14ac:dyDescent="0.3"/>
    <row r="350" s="6" customFormat="1" ht="15.75" customHeight="1" x14ac:dyDescent="0.3"/>
    <row r="351" s="6" customFormat="1" ht="15.75" customHeight="1" x14ac:dyDescent="0.3"/>
    <row r="352" s="6" customFormat="1" ht="15.75" customHeight="1" x14ac:dyDescent="0.3"/>
    <row r="353" s="6" customFormat="1" ht="15.75" customHeight="1" x14ac:dyDescent="0.3"/>
    <row r="354" s="6" customFormat="1" ht="15.75" customHeight="1" x14ac:dyDescent="0.3"/>
    <row r="355" s="6" customFormat="1" ht="15.75" customHeight="1" x14ac:dyDescent="0.3"/>
    <row r="356" s="6" customFormat="1" ht="15.75" customHeight="1" x14ac:dyDescent="0.3"/>
    <row r="357" s="6" customFormat="1" ht="15.75" customHeight="1" x14ac:dyDescent="0.3"/>
    <row r="358" s="6" customFormat="1" ht="15.75" customHeight="1" x14ac:dyDescent="0.3"/>
    <row r="359" s="6" customFormat="1" ht="15.75" customHeight="1" x14ac:dyDescent="0.3"/>
    <row r="360" s="6" customFormat="1" ht="15.75" customHeight="1" x14ac:dyDescent="0.3"/>
    <row r="361" s="6" customFormat="1" ht="15.75" customHeight="1" x14ac:dyDescent="0.3"/>
    <row r="362" s="6" customFormat="1" ht="15.75" customHeight="1" x14ac:dyDescent="0.3"/>
    <row r="363" s="6" customFormat="1" ht="15.75" customHeight="1" x14ac:dyDescent="0.3"/>
    <row r="364" s="6" customFormat="1" ht="15.75" customHeight="1" x14ac:dyDescent="0.3"/>
    <row r="365" s="6" customFormat="1" ht="15.75" customHeight="1" x14ac:dyDescent="0.3"/>
    <row r="366" s="6" customFormat="1" ht="15.75" customHeight="1" x14ac:dyDescent="0.3"/>
    <row r="367" s="6" customFormat="1" ht="15.75" customHeight="1" x14ac:dyDescent="0.3"/>
    <row r="368" s="6" customFormat="1" ht="15.75" customHeight="1" x14ac:dyDescent="0.3"/>
    <row r="369" s="6" customFormat="1" ht="15.75" customHeight="1" x14ac:dyDescent="0.3"/>
    <row r="370" s="6" customFormat="1" ht="15.75" customHeight="1" x14ac:dyDescent="0.3"/>
    <row r="371" s="6" customFormat="1" ht="15.75" customHeight="1" x14ac:dyDescent="0.3"/>
    <row r="372" s="6" customFormat="1" ht="15.75" customHeight="1" x14ac:dyDescent="0.3"/>
    <row r="373" s="6" customFormat="1" ht="15.75" customHeight="1" x14ac:dyDescent="0.3"/>
    <row r="374" s="6" customFormat="1" ht="15.75" customHeight="1" x14ac:dyDescent="0.3"/>
    <row r="375" s="6" customFormat="1" ht="15.75" customHeight="1" x14ac:dyDescent="0.3"/>
    <row r="376" s="6" customFormat="1" ht="15.75" customHeight="1" x14ac:dyDescent="0.3"/>
    <row r="377" s="6" customFormat="1" ht="15.75" customHeight="1" x14ac:dyDescent="0.3"/>
    <row r="378" s="6" customFormat="1" ht="15.75" customHeight="1" x14ac:dyDescent="0.3"/>
    <row r="379" s="6" customFormat="1" ht="15.75" customHeight="1" x14ac:dyDescent="0.3"/>
    <row r="380" s="6" customFormat="1" ht="15.75" customHeight="1" x14ac:dyDescent="0.3"/>
    <row r="381" s="6" customFormat="1" ht="15.75" customHeight="1" x14ac:dyDescent="0.3"/>
    <row r="382" s="6" customFormat="1" ht="15.75" customHeight="1" x14ac:dyDescent="0.3"/>
    <row r="383" s="6" customFormat="1" ht="15.75" customHeight="1" x14ac:dyDescent="0.3"/>
    <row r="384" s="6" customFormat="1" ht="15.75" customHeight="1" x14ac:dyDescent="0.3"/>
    <row r="385" s="6" customFormat="1" ht="15.75" customHeight="1" x14ac:dyDescent="0.3"/>
    <row r="386" s="6" customFormat="1" ht="15.75" customHeight="1" x14ac:dyDescent="0.3"/>
    <row r="387" s="6" customFormat="1" ht="15.75" customHeight="1" x14ac:dyDescent="0.3"/>
    <row r="388" s="6" customFormat="1" ht="15.75" customHeight="1" x14ac:dyDescent="0.3"/>
    <row r="389" s="6" customFormat="1" ht="15.75" customHeight="1" x14ac:dyDescent="0.3"/>
    <row r="390" s="6" customFormat="1" ht="15.75" customHeight="1" x14ac:dyDescent="0.3"/>
    <row r="391" s="6" customFormat="1" ht="15.75" customHeight="1" x14ac:dyDescent="0.3"/>
    <row r="392" s="6" customFormat="1" ht="15.75" customHeight="1" x14ac:dyDescent="0.3"/>
    <row r="393" s="6" customFormat="1" ht="15.75" customHeight="1" x14ac:dyDescent="0.3"/>
    <row r="394" s="6" customFormat="1" ht="15.75" customHeight="1" x14ac:dyDescent="0.3"/>
    <row r="395" s="6" customFormat="1" ht="15.75" customHeight="1" x14ac:dyDescent="0.3"/>
    <row r="396" s="6" customFormat="1" ht="15.75" customHeight="1" x14ac:dyDescent="0.3"/>
    <row r="397" s="6" customFormat="1" ht="15.75" customHeight="1" x14ac:dyDescent="0.3"/>
    <row r="398" s="6" customFormat="1" ht="15.75" customHeight="1" x14ac:dyDescent="0.3"/>
    <row r="399" s="6" customFormat="1" ht="15.75" customHeight="1" x14ac:dyDescent="0.3"/>
    <row r="400" s="6" customFormat="1" ht="15.75" customHeight="1" x14ac:dyDescent="0.3"/>
    <row r="401" s="6" customFormat="1" ht="15.75" customHeight="1" x14ac:dyDescent="0.3"/>
    <row r="402" s="6" customFormat="1" ht="15.75" customHeight="1" x14ac:dyDescent="0.3"/>
    <row r="403" s="6" customFormat="1" ht="15.75" customHeight="1" x14ac:dyDescent="0.3"/>
    <row r="404" s="6" customFormat="1" ht="15.75" customHeight="1" x14ac:dyDescent="0.3"/>
    <row r="405" s="6" customFormat="1" ht="15.75" customHeight="1" x14ac:dyDescent="0.3"/>
    <row r="406" s="6" customFormat="1" ht="15.75" customHeight="1" x14ac:dyDescent="0.3"/>
    <row r="407" s="6" customFormat="1" ht="15.75" customHeight="1" x14ac:dyDescent="0.3"/>
    <row r="408" s="6" customFormat="1" ht="15.75" customHeight="1" x14ac:dyDescent="0.3"/>
    <row r="409" s="6" customFormat="1" ht="15.75" customHeight="1" x14ac:dyDescent="0.3"/>
    <row r="410" s="6" customFormat="1" ht="15.75" customHeight="1" x14ac:dyDescent="0.3"/>
    <row r="411" s="6" customFormat="1" ht="15.75" customHeight="1" x14ac:dyDescent="0.3"/>
    <row r="412" s="6" customFormat="1" ht="15.75" customHeight="1" x14ac:dyDescent="0.3"/>
    <row r="413" s="6" customFormat="1" ht="15.75" customHeight="1" x14ac:dyDescent="0.3"/>
    <row r="414" s="6" customFormat="1" ht="15.75" customHeight="1" x14ac:dyDescent="0.3"/>
    <row r="415" s="6" customFormat="1" ht="15.75" customHeight="1" x14ac:dyDescent="0.3"/>
    <row r="416" s="6" customFormat="1" ht="15.75" customHeight="1" x14ac:dyDescent="0.3"/>
    <row r="417" s="6" customFormat="1" ht="15.75" customHeight="1" x14ac:dyDescent="0.3"/>
    <row r="418" s="6" customFormat="1" ht="15.75" customHeight="1" x14ac:dyDescent="0.3"/>
    <row r="419" s="6" customFormat="1" ht="15.75" customHeight="1" x14ac:dyDescent="0.3"/>
    <row r="420" s="6" customFormat="1" ht="15.75" customHeight="1" x14ac:dyDescent="0.3"/>
    <row r="421" s="6" customFormat="1" ht="15.75" customHeight="1" x14ac:dyDescent="0.3"/>
    <row r="422" s="6" customFormat="1" ht="15.75" customHeight="1" x14ac:dyDescent="0.3"/>
    <row r="423" s="6" customFormat="1" ht="15.75" customHeight="1" x14ac:dyDescent="0.3"/>
    <row r="424" s="6" customFormat="1" ht="15.75" customHeight="1" x14ac:dyDescent="0.3"/>
    <row r="425" s="6" customFormat="1" ht="15.75" customHeight="1" x14ac:dyDescent="0.3"/>
    <row r="426" s="6" customFormat="1" ht="15.75" customHeight="1" x14ac:dyDescent="0.3"/>
    <row r="427" s="6" customFormat="1" ht="15.75" customHeight="1" x14ac:dyDescent="0.3"/>
    <row r="428" s="6" customFormat="1" ht="15.75" customHeight="1" x14ac:dyDescent="0.3"/>
    <row r="429" s="6" customFormat="1" ht="15.75" customHeight="1" x14ac:dyDescent="0.3"/>
    <row r="430" s="6" customFormat="1" ht="15.75" customHeight="1" x14ac:dyDescent="0.3"/>
    <row r="431" s="6" customFormat="1" ht="15.75" customHeight="1" x14ac:dyDescent="0.3"/>
    <row r="432" s="6" customFormat="1" ht="15.75" customHeight="1" x14ac:dyDescent="0.3"/>
    <row r="433" s="6" customFormat="1" ht="15.75" customHeight="1" x14ac:dyDescent="0.3"/>
    <row r="434" s="6" customFormat="1" ht="15.75" customHeight="1" x14ac:dyDescent="0.3"/>
    <row r="435" s="6" customFormat="1" ht="15.75" customHeight="1" x14ac:dyDescent="0.3"/>
    <row r="436" s="6" customFormat="1" ht="15.75" customHeight="1" x14ac:dyDescent="0.3"/>
    <row r="437" s="6" customFormat="1" ht="15.75" customHeight="1" x14ac:dyDescent="0.3"/>
    <row r="438" s="6" customFormat="1" ht="15.75" customHeight="1" x14ac:dyDescent="0.3"/>
    <row r="439" s="6" customFormat="1" ht="15.75" customHeight="1" x14ac:dyDescent="0.3"/>
    <row r="440" s="6" customFormat="1" ht="15.75" customHeight="1" x14ac:dyDescent="0.3"/>
    <row r="441" s="6" customFormat="1" ht="15.75" customHeight="1" x14ac:dyDescent="0.3"/>
    <row r="442" s="6" customFormat="1" ht="15.75" customHeight="1" x14ac:dyDescent="0.3"/>
    <row r="443" s="6" customFormat="1" ht="15.75" customHeight="1" x14ac:dyDescent="0.3"/>
    <row r="444" s="6" customFormat="1" ht="15.75" customHeight="1" x14ac:dyDescent="0.3"/>
    <row r="445" s="6" customFormat="1" ht="15.75" customHeight="1" x14ac:dyDescent="0.3"/>
    <row r="446" s="6" customFormat="1" ht="15.75" customHeight="1" x14ac:dyDescent="0.3"/>
    <row r="447" s="6" customFormat="1" ht="15.75" customHeight="1" x14ac:dyDescent="0.3"/>
    <row r="448" s="6" customFormat="1" ht="15.75" customHeight="1" x14ac:dyDescent="0.3"/>
    <row r="449" s="6" customFormat="1" ht="15.75" customHeight="1" x14ac:dyDescent="0.3"/>
    <row r="450" s="6" customFormat="1" ht="15.75" customHeight="1" x14ac:dyDescent="0.3"/>
    <row r="451" s="6" customFormat="1" ht="15.75" customHeight="1" x14ac:dyDescent="0.3"/>
    <row r="452" s="6" customFormat="1" ht="15.75" customHeight="1" x14ac:dyDescent="0.3"/>
    <row r="453" s="6" customFormat="1" ht="15.75" customHeight="1" x14ac:dyDescent="0.3"/>
    <row r="454" s="6" customFormat="1" ht="15.75" customHeight="1" x14ac:dyDescent="0.3"/>
    <row r="455" s="6" customFormat="1" ht="15.75" customHeight="1" x14ac:dyDescent="0.3"/>
    <row r="456" s="6" customFormat="1" ht="15.75" customHeight="1" x14ac:dyDescent="0.3"/>
    <row r="457" s="6" customFormat="1" ht="15.75" customHeight="1" x14ac:dyDescent="0.3"/>
    <row r="458" s="6" customFormat="1" ht="15.75" customHeight="1" x14ac:dyDescent="0.3"/>
    <row r="459" s="6" customFormat="1" ht="15.75" customHeight="1" x14ac:dyDescent="0.3"/>
    <row r="460" s="6" customFormat="1" ht="15.75" customHeight="1" x14ac:dyDescent="0.3"/>
    <row r="461" s="6" customFormat="1" ht="15.75" customHeight="1" x14ac:dyDescent="0.3"/>
    <row r="462" s="6" customFormat="1" ht="15.75" customHeight="1" x14ac:dyDescent="0.3"/>
    <row r="463" s="6" customFormat="1" ht="15.75" customHeight="1" x14ac:dyDescent="0.3"/>
    <row r="464" s="6" customFormat="1" ht="15.75" customHeight="1" x14ac:dyDescent="0.3"/>
    <row r="465" s="6" customFormat="1" ht="15.75" customHeight="1" x14ac:dyDescent="0.3"/>
    <row r="466" s="6" customFormat="1" ht="15.75" customHeight="1" x14ac:dyDescent="0.3"/>
    <row r="467" s="6" customFormat="1" ht="15.75" customHeight="1" x14ac:dyDescent="0.3"/>
    <row r="468" s="6" customFormat="1" ht="15.75" customHeight="1" x14ac:dyDescent="0.3"/>
    <row r="469" s="6" customFormat="1" ht="15.75" customHeight="1" x14ac:dyDescent="0.3"/>
    <row r="470" s="6" customFormat="1" ht="15.75" customHeight="1" x14ac:dyDescent="0.3"/>
    <row r="471" s="6" customFormat="1" ht="15.75" customHeight="1" x14ac:dyDescent="0.3"/>
    <row r="472" s="6" customFormat="1" ht="15.75" customHeight="1" x14ac:dyDescent="0.3"/>
    <row r="473" s="6" customFormat="1" ht="15.75" customHeight="1" x14ac:dyDescent="0.3"/>
    <row r="474" s="6" customFormat="1" ht="15.75" customHeight="1" x14ac:dyDescent="0.3"/>
    <row r="475" s="6" customFormat="1" ht="15.75" customHeight="1" x14ac:dyDescent="0.3"/>
    <row r="476" s="6" customFormat="1" ht="15.75" customHeight="1" x14ac:dyDescent="0.3"/>
    <row r="477" s="6" customFormat="1" ht="15.75" customHeight="1" x14ac:dyDescent="0.3"/>
    <row r="478" s="6" customFormat="1" ht="15.75" customHeight="1" x14ac:dyDescent="0.3"/>
    <row r="479" s="6" customFormat="1" ht="15.75" customHeight="1" x14ac:dyDescent="0.3"/>
    <row r="480" s="6" customFormat="1" ht="15.75" customHeight="1" x14ac:dyDescent="0.3"/>
    <row r="481" s="6" customFormat="1" ht="15.75" customHeight="1" x14ac:dyDescent="0.3"/>
    <row r="482" s="6" customFormat="1" ht="15.75" customHeight="1" x14ac:dyDescent="0.3"/>
    <row r="483" s="6" customFormat="1" ht="15.75" customHeight="1" x14ac:dyDescent="0.3"/>
    <row r="484" s="6" customFormat="1" ht="15.75" customHeight="1" x14ac:dyDescent="0.3"/>
    <row r="485" s="6" customFormat="1" ht="15.75" customHeight="1" x14ac:dyDescent="0.3"/>
    <row r="486" s="6" customFormat="1" ht="15.75" customHeight="1" x14ac:dyDescent="0.3"/>
    <row r="487" s="6" customFormat="1" ht="15.75" customHeight="1" x14ac:dyDescent="0.3"/>
    <row r="488" s="6" customFormat="1" ht="15.75" customHeight="1" x14ac:dyDescent="0.3"/>
    <row r="489" s="6" customFormat="1" ht="15.75" customHeight="1" x14ac:dyDescent="0.3"/>
    <row r="490" s="6" customFormat="1" ht="15.75" customHeight="1" x14ac:dyDescent="0.3"/>
    <row r="491" s="6" customFormat="1" ht="15.75" customHeight="1" x14ac:dyDescent="0.3"/>
    <row r="492" s="6" customFormat="1" ht="15.75" customHeight="1" x14ac:dyDescent="0.3"/>
    <row r="493" s="6" customFormat="1" ht="15.75" customHeight="1" x14ac:dyDescent="0.3"/>
    <row r="494" s="6" customFormat="1" ht="15.75" customHeight="1" x14ac:dyDescent="0.3"/>
    <row r="495" s="6" customFormat="1" ht="15.75" customHeight="1" x14ac:dyDescent="0.3"/>
    <row r="496" s="6" customFormat="1" ht="15.75" customHeight="1" x14ac:dyDescent="0.3"/>
    <row r="497" s="6" customFormat="1" ht="15.75" customHeight="1" x14ac:dyDescent="0.3"/>
    <row r="498" s="6" customFormat="1" ht="15.75" customHeight="1" x14ac:dyDescent="0.3"/>
    <row r="499" s="6" customFormat="1" ht="15.75" customHeight="1" x14ac:dyDescent="0.3"/>
    <row r="500" s="6" customFormat="1" ht="15.75" customHeight="1" x14ac:dyDescent="0.3"/>
    <row r="501" s="6" customFormat="1" ht="15.75" customHeight="1" x14ac:dyDescent="0.3"/>
    <row r="502" s="6" customFormat="1" ht="15.75" customHeight="1" x14ac:dyDescent="0.3"/>
    <row r="503" s="6" customFormat="1" ht="15.75" customHeight="1" x14ac:dyDescent="0.3"/>
    <row r="504" s="6" customFormat="1" ht="15.75" customHeight="1" x14ac:dyDescent="0.3"/>
    <row r="505" s="6" customFormat="1" ht="15.75" customHeight="1" x14ac:dyDescent="0.3"/>
    <row r="506" s="6" customFormat="1" ht="15.75" customHeight="1" x14ac:dyDescent="0.3"/>
    <row r="507" s="6" customFormat="1" ht="15.75" customHeight="1" x14ac:dyDescent="0.3"/>
    <row r="508" s="6" customFormat="1" ht="15.75" customHeight="1" x14ac:dyDescent="0.3"/>
    <row r="509" s="6" customFormat="1" ht="15.75" customHeight="1" x14ac:dyDescent="0.3"/>
    <row r="510" s="6" customFormat="1" ht="15.75" customHeight="1" x14ac:dyDescent="0.3"/>
    <row r="511" s="6" customFormat="1" ht="15.75" customHeight="1" x14ac:dyDescent="0.3"/>
    <row r="512" s="6" customFormat="1" ht="15.75" customHeight="1" x14ac:dyDescent="0.3"/>
    <row r="513" s="6" customFormat="1" ht="15.75" customHeight="1" x14ac:dyDescent="0.3"/>
    <row r="514" s="6" customFormat="1" ht="15.75" customHeight="1" x14ac:dyDescent="0.3"/>
    <row r="515" s="6" customFormat="1" ht="15.75" customHeight="1" x14ac:dyDescent="0.3"/>
    <row r="516" s="6" customFormat="1" ht="15.75" customHeight="1" x14ac:dyDescent="0.3"/>
    <row r="517" s="6" customFormat="1" ht="15.75" customHeight="1" x14ac:dyDescent="0.3"/>
    <row r="518" s="6" customFormat="1" ht="15.75" customHeight="1" x14ac:dyDescent="0.3"/>
    <row r="519" s="6" customFormat="1" ht="15.75" customHeight="1" x14ac:dyDescent="0.3"/>
    <row r="520" s="6" customFormat="1" ht="15.75" customHeight="1" x14ac:dyDescent="0.3"/>
    <row r="521" s="6" customFormat="1" ht="15.75" customHeight="1" x14ac:dyDescent="0.3"/>
    <row r="522" s="6" customFormat="1" ht="15.75" customHeight="1" x14ac:dyDescent="0.3"/>
    <row r="523" s="6" customFormat="1" ht="15.75" customHeight="1" x14ac:dyDescent="0.3"/>
    <row r="524" s="6" customFormat="1" ht="15.75" customHeight="1" x14ac:dyDescent="0.3"/>
    <row r="525" s="6" customFormat="1" ht="15.75" customHeight="1" x14ac:dyDescent="0.3"/>
    <row r="526" s="6" customFormat="1" ht="15.75" customHeight="1" x14ac:dyDescent="0.3"/>
    <row r="527" s="6" customFormat="1" ht="15.75" customHeight="1" x14ac:dyDescent="0.3"/>
    <row r="528" s="6" customFormat="1" ht="15.75" customHeight="1" x14ac:dyDescent="0.3"/>
    <row r="529" s="6" customFormat="1" ht="15.75" customHeight="1" x14ac:dyDescent="0.3"/>
    <row r="530" s="6" customFormat="1" ht="15.75" customHeight="1" x14ac:dyDescent="0.3"/>
    <row r="531" s="6" customFormat="1" ht="15.75" customHeight="1" x14ac:dyDescent="0.3"/>
    <row r="532" s="6" customFormat="1" ht="15.75" customHeight="1" x14ac:dyDescent="0.3"/>
    <row r="533" s="6" customFormat="1" ht="15.75" customHeight="1" x14ac:dyDescent="0.3"/>
    <row r="534" s="6" customFormat="1" ht="15.75" customHeight="1" x14ac:dyDescent="0.3"/>
    <row r="535" s="6" customFormat="1" ht="15.75" customHeight="1" x14ac:dyDescent="0.3"/>
    <row r="536" s="6" customFormat="1" ht="15.75" customHeight="1" x14ac:dyDescent="0.3"/>
    <row r="537" s="6" customFormat="1" ht="15.75" customHeight="1" x14ac:dyDescent="0.3"/>
    <row r="538" s="6" customFormat="1" ht="15.75" customHeight="1" x14ac:dyDescent="0.3"/>
    <row r="539" s="6" customFormat="1" ht="15.75" customHeight="1" x14ac:dyDescent="0.3"/>
    <row r="540" s="6" customFormat="1" ht="15.75" customHeight="1" x14ac:dyDescent="0.3"/>
    <row r="541" s="6" customFormat="1" ht="15.75" customHeight="1" x14ac:dyDescent="0.3"/>
    <row r="542" s="6" customFormat="1" ht="15.75" customHeight="1" x14ac:dyDescent="0.3"/>
    <row r="543" s="6" customFormat="1" ht="15.75" customHeight="1" x14ac:dyDescent="0.3"/>
    <row r="544" s="6" customFormat="1" ht="15.75" customHeight="1" x14ac:dyDescent="0.3"/>
    <row r="545" s="6" customFormat="1" ht="15.75" customHeight="1" x14ac:dyDescent="0.3"/>
    <row r="546" s="6" customFormat="1" ht="15.75" customHeight="1" x14ac:dyDescent="0.3"/>
    <row r="547" s="6" customFormat="1" ht="15.75" customHeight="1" x14ac:dyDescent="0.3"/>
    <row r="548" s="6" customFormat="1" ht="15.75" customHeight="1" x14ac:dyDescent="0.3"/>
    <row r="549" s="6" customFormat="1" ht="15.75" customHeight="1" x14ac:dyDescent="0.3"/>
    <row r="550" s="6" customFormat="1" ht="15.75" customHeight="1" x14ac:dyDescent="0.3"/>
    <row r="551" s="6" customFormat="1" ht="15.75" customHeight="1" x14ac:dyDescent="0.3"/>
    <row r="552" s="6" customFormat="1" ht="15.75" customHeight="1" x14ac:dyDescent="0.3"/>
    <row r="553" s="6" customFormat="1" ht="15.75" customHeight="1" x14ac:dyDescent="0.3"/>
    <row r="554" s="6" customFormat="1" ht="15.75" customHeight="1" x14ac:dyDescent="0.3"/>
    <row r="555" s="6" customFormat="1" ht="15.75" customHeight="1" x14ac:dyDescent="0.3"/>
    <row r="556" s="6" customFormat="1" ht="15.75" customHeight="1" x14ac:dyDescent="0.3"/>
    <row r="557" s="6" customFormat="1" ht="15.75" customHeight="1" x14ac:dyDescent="0.3"/>
    <row r="558" s="6" customFormat="1" ht="15.75" customHeight="1" x14ac:dyDescent="0.3"/>
    <row r="559" s="6" customFormat="1" ht="15.75" customHeight="1" x14ac:dyDescent="0.3"/>
    <row r="560" s="6" customFormat="1" ht="15.75" customHeight="1" x14ac:dyDescent="0.3"/>
    <row r="561" s="6" customFormat="1" ht="15.75" customHeight="1" x14ac:dyDescent="0.3"/>
    <row r="562" s="6" customFormat="1" ht="15.75" customHeight="1" x14ac:dyDescent="0.3"/>
    <row r="563" s="6" customFormat="1" ht="15.75" customHeight="1" x14ac:dyDescent="0.3"/>
    <row r="564" s="6" customFormat="1" ht="15.75" customHeight="1" x14ac:dyDescent="0.3"/>
    <row r="565" s="6" customFormat="1" ht="15.75" customHeight="1" x14ac:dyDescent="0.3"/>
    <row r="566" s="6" customFormat="1" ht="15.75" customHeight="1" x14ac:dyDescent="0.3"/>
    <row r="567" s="6" customFormat="1" ht="15.75" customHeight="1" x14ac:dyDescent="0.3"/>
    <row r="568" s="6" customFormat="1" ht="15.75" customHeight="1" x14ac:dyDescent="0.3"/>
    <row r="569" s="6" customFormat="1" ht="15.75" customHeight="1" x14ac:dyDescent="0.3"/>
    <row r="570" s="6" customFormat="1" ht="15.75" customHeight="1" x14ac:dyDescent="0.3"/>
    <row r="571" s="6" customFormat="1" ht="15.75" customHeight="1" x14ac:dyDescent="0.3"/>
    <row r="572" s="6" customFormat="1" ht="15.75" customHeight="1" x14ac:dyDescent="0.3"/>
    <row r="573" s="6" customFormat="1" ht="15.75" customHeight="1" x14ac:dyDescent="0.3"/>
    <row r="574" s="6" customFormat="1" ht="15.75" customHeight="1" x14ac:dyDescent="0.3"/>
    <row r="575" s="6" customFormat="1" ht="15.75" customHeight="1" x14ac:dyDescent="0.3"/>
    <row r="576" s="6" customFormat="1" ht="15.75" customHeight="1" x14ac:dyDescent="0.3"/>
    <row r="577" s="6" customFormat="1" ht="15.75" customHeight="1" x14ac:dyDescent="0.3"/>
    <row r="578" s="6" customFormat="1" ht="15.75" customHeight="1" x14ac:dyDescent="0.3"/>
    <row r="579" s="6" customFormat="1" ht="15.75" customHeight="1" x14ac:dyDescent="0.3"/>
    <row r="580" s="6" customFormat="1" ht="15.75" customHeight="1" x14ac:dyDescent="0.3"/>
    <row r="581" s="6" customFormat="1" ht="15.75" customHeight="1" x14ac:dyDescent="0.3"/>
    <row r="582" s="6" customFormat="1" ht="15.75" customHeight="1" x14ac:dyDescent="0.3"/>
    <row r="583" s="6" customFormat="1" ht="15.75" customHeight="1" x14ac:dyDescent="0.3"/>
    <row r="584" s="6" customFormat="1" ht="15.75" customHeight="1" x14ac:dyDescent="0.3"/>
    <row r="585" s="6" customFormat="1" ht="15.75" customHeight="1" x14ac:dyDescent="0.3"/>
    <row r="586" s="6" customFormat="1" ht="15.75" customHeight="1" x14ac:dyDescent="0.3"/>
    <row r="587" s="6" customFormat="1" ht="15.75" customHeight="1" x14ac:dyDescent="0.3"/>
    <row r="588" s="6" customFormat="1" ht="15.75" customHeight="1" x14ac:dyDescent="0.3"/>
    <row r="589" s="6" customFormat="1" ht="15.75" customHeight="1" x14ac:dyDescent="0.3"/>
    <row r="590" s="6" customFormat="1" ht="15.75" customHeight="1" x14ac:dyDescent="0.3"/>
    <row r="591" s="6" customFormat="1" ht="15.75" customHeight="1" x14ac:dyDescent="0.3"/>
    <row r="592" s="6" customFormat="1" ht="15.75" customHeight="1" x14ac:dyDescent="0.3"/>
    <row r="593" s="6" customFormat="1" ht="15.75" customHeight="1" x14ac:dyDescent="0.3"/>
    <row r="594" s="6" customFormat="1" ht="15.75" customHeight="1" x14ac:dyDescent="0.3"/>
    <row r="595" s="6" customFormat="1" ht="15.75" customHeight="1" x14ac:dyDescent="0.3"/>
    <row r="596" s="6" customFormat="1" ht="15.75" customHeight="1" x14ac:dyDescent="0.3"/>
    <row r="597" s="6" customFormat="1" ht="15.75" customHeight="1" x14ac:dyDescent="0.3"/>
    <row r="598" s="6" customFormat="1" ht="15.75" customHeight="1" x14ac:dyDescent="0.3"/>
    <row r="599" s="6" customFormat="1" ht="15.75" customHeight="1" x14ac:dyDescent="0.3"/>
    <row r="600" s="6" customFormat="1" ht="15.75" customHeight="1" x14ac:dyDescent="0.3"/>
    <row r="601" s="6" customFormat="1" ht="15.75" customHeight="1" x14ac:dyDescent="0.3"/>
    <row r="602" s="6" customFormat="1" ht="15.75" customHeight="1" x14ac:dyDescent="0.3"/>
    <row r="603" s="6" customFormat="1" ht="15.75" customHeight="1" x14ac:dyDescent="0.3"/>
    <row r="604" s="6" customFormat="1" ht="15.75" customHeight="1" x14ac:dyDescent="0.3"/>
    <row r="605" s="6" customFormat="1" ht="15.75" customHeight="1" x14ac:dyDescent="0.3"/>
    <row r="606" s="6" customFormat="1" ht="15.75" customHeight="1" x14ac:dyDescent="0.3"/>
    <row r="607" s="6" customFormat="1" ht="15.75" customHeight="1" x14ac:dyDescent="0.3"/>
    <row r="608" s="6" customFormat="1" ht="15.75" customHeight="1" x14ac:dyDescent="0.3"/>
    <row r="609" s="6" customFormat="1" ht="15.75" customHeight="1" x14ac:dyDescent="0.3"/>
    <row r="610" s="6" customFormat="1" ht="15.75" customHeight="1" x14ac:dyDescent="0.3"/>
    <row r="611" s="6" customFormat="1" ht="15.75" customHeight="1" x14ac:dyDescent="0.3"/>
    <row r="612" s="6" customFormat="1" ht="15.75" customHeight="1" x14ac:dyDescent="0.3"/>
    <row r="613" s="6" customFormat="1" ht="15.75" customHeight="1" x14ac:dyDescent="0.3"/>
    <row r="614" s="6" customFormat="1" ht="15.75" customHeight="1" x14ac:dyDescent="0.3"/>
    <row r="615" s="6" customFormat="1" ht="15.75" customHeight="1" x14ac:dyDescent="0.3"/>
    <row r="616" s="6" customFormat="1" ht="15.75" customHeight="1" x14ac:dyDescent="0.3"/>
    <row r="617" s="6" customFormat="1" ht="15.75" customHeight="1" x14ac:dyDescent="0.3"/>
    <row r="618" s="6" customFormat="1" ht="15.75" customHeight="1" x14ac:dyDescent="0.3"/>
    <row r="619" s="6" customFormat="1" ht="15.75" customHeight="1" x14ac:dyDescent="0.3"/>
    <row r="620" s="6" customFormat="1" ht="15.75" customHeight="1" x14ac:dyDescent="0.3"/>
    <row r="621" s="6" customFormat="1" ht="15.75" customHeight="1" x14ac:dyDescent="0.3"/>
    <row r="622" s="6" customFormat="1" ht="15.75" customHeight="1" x14ac:dyDescent="0.3"/>
    <row r="623" s="6" customFormat="1" ht="15.75" customHeight="1" x14ac:dyDescent="0.3"/>
    <row r="624" s="6" customFormat="1" ht="15.75" customHeight="1" x14ac:dyDescent="0.3"/>
    <row r="625" s="6" customFormat="1" ht="15.75" customHeight="1" x14ac:dyDescent="0.3"/>
    <row r="626" s="6" customFormat="1" ht="15.75" customHeight="1" x14ac:dyDescent="0.3"/>
    <row r="627" s="6" customFormat="1" ht="15.75" customHeight="1" x14ac:dyDescent="0.3"/>
    <row r="628" s="6" customFormat="1" ht="15.75" customHeight="1" x14ac:dyDescent="0.3"/>
    <row r="629" s="6" customFormat="1" ht="15.75" customHeight="1" x14ac:dyDescent="0.3"/>
    <row r="630" s="6" customFormat="1" ht="15.75" customHeight="1" x14ac:dyDescent="0.3"/>
    <row r="631" s="6" customFormat="1" ht="15.75" customHeight="1" x14ac:dyDescent="0.3"/>
    <row r="632" s="6" customFormat="1" ht="15.75" customHeight="1" x14ac:dyDescent="0.3"/>
    <row r="633" s="6" customFormat="1" ht="15.75" customHeight="1" x14ac:dyDescent="0.3"/>
    <row r="634" s="6" customFormat="1" ht="15.75" customHeight="1" x14ac:dyDescent="0.3"/>
    <row r="635" s="6" customFormat="1" ht="15.75" customHeight="1" x14ac:dyDescent="0.3"/>
    <row r="636" s="6" customFormat="1" ht="15.75" customHeight="1" x14ac:dyDescent="0.3"/>
    <row r="637" s="6" customFormat="1" ht="15.75" customHeight="1" x14ac:dyDescent="0.3"/>
    <row r="638" s="6" customFormat="1" ht="15.75" customHeight="1" x14ac:dyDescent="0.3"/>
    <row r="639" s="6" customFormat="1" ht="15.75" customHeight="1" x14ac:dyDescent="0.3"/>
    <row r="640" s="6" customFormat="1" ht="15.75" customHeight="1" x14ac:dyDescent="0.3"/>
    <row r="641" s="6" customFormat="1" ht="15.75" customHeight="1" x14ac:dyDescent="0.3"/>
    <row r="642" s="6" customFormat="1" ht="15.75" customHeight="1" x14ac:dyDescent="0.3"/>
    <row r="643" s="6" customFormat="1" ht="15.75" customHeight="1" x14ac:dyDescent="0.3"/>
    <row r="644" s="6" customFormat="1" ht="15.75" customHeight="1" x14ac:dyDescent="0.3"/>
    <row r="645" s="6" customFormat="1" ht="15.75" customHeight="1" x14ac:dyDescent="0.3"/>
    <row r="646" s="6" customFormat="1" ht="15.75" customHeight="1" x14ac:dyDescent="0.3"/>
    <row r="647" s="6" customFormat="1" ht="15.75" customHeight="1" x14ac:dyDescent="0.3"/>
    <row r="648" s="6" customFormat="1" ht="15.75" customHeight="1" x14ac:dyDescent="0.3"/>
    <row r="649" s="6" customFormat="1" ht="15.75" customHeight="1" x14ac:dyDescent="0.3"/>
    <row r="650" s="6" customFormat="1" ht="15.75" customHeight="1" x14ac:dyDescent="0.3"/>
    <row r="651" s="6" customFormat="1" ht="15.75" customHeight="1" x14ac:dyDescent="0.3"/>
    <row r="652" s="6" customFormat="1" ht="15.75" customHeight="1" x14ac:dyDescent="0.3"/>
    <row r="653" s="6" customFormat="1" ht="15.75" customHeight="1" x14ac:dyDescent="0.3"/>
    <row r="654" s="6" customFormat="1" ht="15.75" customHeight="1" x14ac:dyDescent="0.3"/>
    <row r="655" s="6" customFormat="1" ht="15.75" customHeight="1" x14ac:dyDescent="0.3"/>
    <row r="656" s="6" customFormat="1" ht="15.75" customHeight="1" x14ac:dyDescent="0.3"/>
    <row r="657" s="6" customFormat="1" ht="15.75" customHeight="1" x14ac:dyDescent="0.3"/>
    <row r="658" s="6" customFormat="1" ht="15.75" customHeight="1" x14ac:dyDescent="0.3"/>
    <row r="659" s="6" customFormat="1" ht="15.75" customHeight="1" x14ac:dyDescent="0.3"/>
    <row r="660" s="6" customFormat="1" ht="15.75" customHeight="1" x14ac:dyDescent="0.3"/>
    <row r="661" s="6" customFormat="1" ht="15.75" customHeight="1" x14ac:dyDescent="0.3"/>
    <row r="662" s="6" customFormat="1" ht="15.75" customHeight="1" x14ac:dyDescent="0.3"/>
    <row r="663" s="6" customFormat="1" ht="15.75" customHeight="1" x14ac:dyDescent="0.3"/>
    <row r="664" s="6" customFormat="1" ht="15.75" customHeight="1" x14ac:dyDescent="0.3"/>
    <row r="665" s="6" customFormat="1" ht="15.75" customHeight="1" x14ac:dyDescent="0.3"/>
    <row r="666" s="6" customFormat="1" ht="15.75" customHeight="1" x14ac:dyDescent="0.3"/>
    <row r="667" s="6" customFormat="1" ht="15.75" customHeight="1" x14ac:dyDescent="0.3"/>
    <row r="668" s="6" customFormat="1" ht="15.75" customHeight="1" x14ac:dyDescent="0.3"/>
    <row r="669" s="6" customFormat="1" ht="15.75" customHeight="1" x14ac:dyDescent="0.3"/>
    <row r="670" s="6" customFormat="1" ht="15.75" customHeight="1" x14ac:dyDescent="0.3"/>
    <row r="671" s="6" customFormat="1" ht="15.75" customHeight="1" x14ac:dyDescent="0.3"/>
    <row r="672" s="6" customFormat="1" ht="15.75" customHeight="1" x14ac:dyDescent="0.3"/>
    <row r="673" s="6" customFormat="1" ht="15.75" customHeight="1" x14ac:dyDescent="0.3"/>
    <row r="674" s="6" customFormat="1" ht="15.75" customHeight="1" x14ac:dyDescent="0.3"/>
    <row r="675" s="6" customFormat="1" ht="15.75" customHeight="1" x14ac:dyDescent="0.3"/>
    <row r="676" s="6" customFormat="1" ht="15.75" customHeight="1" x14ac:dyDescent="0.3"/>
    <row r="677" s="6" customFormat="1" ht="15.75" customHeight="1" x14ac:dyDescent="0.3"/>
    <row r="678" s="6" customFormat="1" ht="15.75" customHeight="1" x14ac:dyDescent="0.3"/>
    <row r="679" s="6" customFormat="1" ht="15.75" customHeight="1" x14ac:dyDescent="0.3"/>
    <row r="680" s="6" customFormat="1" ht="15.75" customHeight="1" x14ac:dyDescent="0.3"/>
    <row r="681" s="6" customFormat="1" ht="15.75" customHeight="1" x14ac:dyDescent="0.3"/>
    <row r="682" s="6" customFormat="1" ht="15.75" customHeight="1" x14ac:dyDescent="0.3"/>
    <row r="683" s="6" customFormat="1" ht="15.75" customHeight="1" x14ac:dyDescent="0.3"/>
    <row r="684" s="6" customFormat="1" ht="15.75" customHeight="1" x14ac:dyDescent="0.3"/>
    <row r="685" s="6" customFormat="1" ht="15.75" customHeight="1" x14ac:dyDescent="0.3"/>
    <row r="686" s="6" customFormat="1" ht="15.75" customHeight="1" x14ac:dyDescent="0.3"/>
    <row r="687" s="6" customFormat="1" ht="15.75" customHeight="1" x14ac:dyDescent="0.3"/>
    <row r="688" s="6" customFormat="1" ht="15.75" customHeight="1" x14ac:dyDescent="0.3"/>
    <row r="689" s="6" customFormat="1" ht="15.75" customHeight="1" x14ac:dyDescent="0.3"/>
    <row r="690" s="6" customFormat="1" ht="15.75" customHeight="1" x14ac:dyDescent="0.3"/>
    <row r="691" s="6" customFormat="1" ht="15.75" customHeight="1" x14ac:dyDescent="0.3"/>
    <row r="692" s="6" customFormat="1" ht="15.75" customHeight="1" x14ac:dyDescent="0.3"/>
    <row r="693" s="6" customFormat="1" ht="15.75" customHeight="1" x14ac:dyDescent="0.3"/>
    <row r="694" s="6" customFormat="1" ht="15.75" customHeight="1" x14ac:dyDescent="0.3"/>
    <row r="695" s="6" customFormat="1" ht="15.75" customHeight="1" x14ac:dyDescent="0.3"/>
    <row r="696" s="6" customFormat="1" ht="15.75" customHeight="1" x14ac:dyDescent="0.3"/>
    <row r="697" s="6" customFormat="1" ht="15.75" customHeight="1" x14ac:dyDescent="0.3"/>
    <row r="698" s="6" customFormat="1" ht="15.75" customHeight="1" x14ac:dyDescent="0.3"/>
    <row r="699" s="6" customFormat="1" ht="15.75" customHeight="1" x14ac:dyDescent="0.3"/>
    <row r="700" s="6" customFormat="1" ht="15.75" customHeight="1" x14ac:dyDescent="0.3"/>
    <row r="701" s="6" customFormat="1" ht="15.75" customHeight="1" x14ac:dyDescent="0.3"/>
    <row r="702" s="6" customFormat="1" ht="15.75" customHeight="1" x14ac:dyDescent="0.3"/>
    <row r="703" s="6" customFormat="1" ht="15.75" customHeight="1" x14ac:dyDescent="0.3"/>
    <row r="704" s="6" customFormat="1" ht="15.75" customHeight="1" x14ac:dyDescent="0.3"/>
    <row r="705" s="6" customFormat="1" ht="15.75" customHeight="1" x14ac:dyDescent="0.3"/>
    <row r="706" s="6" customFormat="1" ht="15.75" customHeight="1" x14ac:dyDescent="0.3"/>
    <row r="707" s="6" customFormat="1" ht="15.75" customHeight="1" x14ac:dyDescent="0.3"/>
    <row r="708" s="6" customFormat="1" ht="15.75" customHeight="1" x14ac:dyDescent="0.3"/>
    <row r="709" s="6" customFormat="1" ht="15.75" customHeight="1" x14ac:dyDescent="0.3"/>
    <row r="710" s="6" customFormat="1" ht="15.75" customHeight="1" x14ac:dyDescent="0.3"/>
    <row r="711" s="6" customFormat="1" ht="15.75" customHeight="1" x14ac:dyDescent="0.3"/>
    <row r="712" s="6" customFormat="1" ht="15.75" customHeight="1" x14ac:dyDescent="0.3"/>
    <row r="713" s="6" customFormat="1" ht="15.75" customHeight="1" x14ac:dyDescent="0.3"/>
    <row r="714" s="6" customFormat="1" ht="15.75" customHeight="1" x14ac:dyDescent="0.3"/>
    <row r="715" s="6" customFormat="1" ht="15.75" customHeight="1" x14ac:dyDescent="0.3"/>
    <row r="716" s="6" customFormat="1" ht="15.75" customHeight="1" x14ac:dyDescent="0.3"/>
    <row r="717" s="6" customFormat="1" ht="15.75" customHeight="1" x14ac:dyDescent="0.3"/>
    <row r="718" s="6" customFormat="1" ht="15.75" customHeight="1" x14ac:dyDescent="0.3"/>
    <row r="719" s="6" customFormat="1" ht="15.75" customHeight="1" x14ac:dyDescent="0.3"/>
    <row r="720" s="6" customFormat="1" ht="15.75" customHeight="1" x14ac:dyDescent="0.3"/>
    <row r="721" s="6" customFormat="1" ht="15.75" customHeight="1" x14ac:dyDescent="0.3"/>
    <row r="722" s="6" customFormat="1" ht="15.75" customHeight="1" x14ac:dyDescent="0.3"/>
    <row r="723" s="6" customFormat="1" ht="15.75" customHeight="1" x14ac:dyDescent="0.3"/>
    <row r="724" s="6" customFormat="1" ht="15.75" customHeight="1" x14ac:dyDescent="0.3"/>
    <row r="725" s="6" customFormat="1" ht="15.75" customHeight="1" x14ac:dyDescent="0.3"/>
    <row r="726" s="6" customFormat="1" ht="15.75" customHeight="1" x14ac:dyDescent="0.3"/>
    <row r="727" s="6" customFormat="1" ht="15.75" customHeight="1" x14ac:dyDescent="0.3"/>
    <row r="728" s="6" customFormat="1" ht="15.75" customHeight="1" x14ac:dyDescent="0.3"/>
    <row r="729" s="6" customFormat="1" ht="15.75" customHeight="1" x14ac:dyDescent="0.3"/>
    <row r="730" s="6" customFormat="1" ht="15.75" customHeight="1" x14ac:dyDescent="0.3"/>
    <row r="731" s="6" customFormat="1" ht="15.75" customHeight="1" x14ac:dyDescent="0.3"/>
    <row r="732" s="6" customFormat="1" ht="15.75" customHeight="1" x14ac:dyDescent="0.3"/>
    <row r="733" s="6" customFormat="1" ht="15.75" customHeight="1" x14ac:dyDescent="0.3"/>
    <row r="734" s="6" customFormat="1" ht="15.75" customHeight="1" x14ac:dyDescent="0.3"/>
    <row r="735" s="6" customFormat="1" ht="15.75" customHeight="1" x14ac:dyDescent="0.3"/>
    <row r="736" s="6" customFormat="1" ht="15.75" customHeight="1" x14ac:dyDescent="0.3"/>
    <row r="737" s="6" customFormat="1" ht="15.75" customHeight="1" x14ac:dyDescent="0.3"/>
    <row r="738" s="6" customFormat="1" ht="15.75" customHeight="1" x14ac:dyDescent="0.3"/>
    <row r="739" s="6" customFormat="1" ht="15.75" customHeight="1" x14ac:dyDescent="0.3"/>
    <row r="740" s="6" customFormat="1" ht="15.75" customHeight="1" x14ac:dyDescent="0.3"/>
    <row r="741" s="6" customFormat="1" ht="15.75" customHeight="1" x14ac:dyDescent="0.3"/>
    <row r="742" s="6" customFormat="1" ht="15.75" customHeight="1" x14ac:dyDescent="0.3"/>
    <row r="743" s="6" customFormat="1" ht="15.75" customHeight="1" x14ac:dyDescent="0.3"/>
    <row r="744" s="6" customFormat="1" ht="15.75" customHeight="1" x14ac:dyDescent="0.3"/>
    <row r="745" s="6" customFormat="1" ht="15.75" customHeight="1" x14ac:dyDescent="0.3"/>
    <row r="746" s="6" customFormat="1" ht="15.75" customHeight="1" x14ac:dyDescent="0.3"/>
    <row r="747" s="6" customFormat="1" ht="15.75" customHeight="1" x14ac:dyDescent="0.3"/>
    <row r="748" s="6" customFormat="1" ht="15.75" customHeight="1" x14ac:dyDescent="0.3"/>
    <row r="749" s="6" customFormat="1" ht="15.75" customHeight="1" x14ac:dyDescent="0.3"/>
    <row r="750" s="6" customFormat="1" ht="15.75" customHeight="1" x14ac:dyDescent="0.3"/>
    <row r="751" s="6" customFormat="1" ht="15.75" customHeight="1" x14ac:dyDescent="0.3"/>
    <row r="752" s="6" customFormat="1" ht="15.75" customHeight="1" x14ac:dyDescent="0.3"/>
    <row r="753" s="6" customFormat="1" ht="15.75" customHeight="1" x14ac:dyDescent="0.3"/>
    <row r="754" s="6" customFormat="1" ht="15.75" customHeight="1" x14ac:dyDescent="0.3"/>
    <row r="755" s="6" customFormat="1" ht="15.75" customHeight="1" x14ac:dyDescent="0.3"/>
    <row r="756" s="6" customFormat="1" ht="15.75" customHeight="1" x14ac:dyDescent="0.3"/>
    <row r="757" s="6" customFormat="1" ht="15.75" customHeight="1" x14ac:dyDescent="0.3"/>
    <row r="758" s="6" customFormat="1" ht="15.75" customHeight="1" x14ac:dyDescent="0.3"/>
    <row r="759" s="6" customFormat="1" ht="15.75" customHeight="1" x14ac:dyDescent="0.3"/>
    <row r="760" s="6" customFormat="1" ht="15.75" customHeight="1" x14ac:dyDescent="0.3"/>
    <row r="761" s="6" customFormat="1" ht="15.75" customHeight="1" x14ac:dyDescent="0.3"/>
    <row r="762" s="6" customFormat="1" ht="15.75" customHeight="1" x14ac:dyDescent="0.3"/>
    <row r="763" s="6" customFormat="1" ht="15.75" customHeight="1" x14ac:dyDescent="0.3"/>
    <row r="764" s="6" customFormat="1" ht="15.75" customHeight="1" x14ac:dyDescent="0.3"/>
    <row r="765" s="6" customFormat="1" ht="15.75" customHeight="1" x14ac:dyDescent="0.3"/>
    <row r="766" s="6" customFormat="1" ht="15.75" customHeight="1" x14ac:dyDescent="0.3"/>
    <row r="767" s="6" customFormat="1" ht="15.75" customHeight="1" x14ac:dyDescent="0.3"/>
    <row r="768" s="6" customFormat="1" ht="15.75" customHeight="1" x14ac:dyDescent="0.3"/>
    <row r="769" s="6" customFormat="1" ht="15.75" customHeight="1" x14ac:dyDescent="0.3"/>
    <row r="770" s="6" customFormat="1" ht="15.75" customHeight="1" x14ac:dyDescent="0.3"/>
    <row r="771" s="6" customFormat="1" ht="15.75" customHeight="1" x14ac:dyDescent="0.3"/>
    <row r="772" s="6" customFormat="1" ht="15.75" customHeight="1" x14ac:dyDescent="0.3"/>
    <row r="773" s="6" customFormat="1" ht="15.75" customHeight="1" x14ac:dyDescent="0.3"/>
    <row r="774" s="6" customFormat="1" ht="15.75" customHeight="1" x14ac:dyDescent="0.3"/>
    <row r="775" s="6" customFormat="1" ht="15.75" customHeight="1" x14ac:dyDescent="0.3"/>
    <row r="776" s="6" customFormat="1" ht="15.75" customHeight="1" x14ac:dyDescent="0.3"/>
    <row r="777" s="6" customFormat="1" ht="15.75" customHeight="1" x14ac:dyDescent="0.3"/>
    <row r="778" s="6" customFormat="1" ht="15.75" customHeight="1" x14ac:dyDescent="0.3"/>
    <row r="779" s="6" customFormat="1" ht="15.75" customHeight="1" x14ac:dyDescent="0.3"/>
    <row r="780" s="6" customFormat="1" ht="15.75" customHeight="1" x14ac:dyDescent="0.3"/>
    <row r="781" s="6" customFormat="1" ht="15.75" customHeight="1" x14ac:dyDescent="0.3"/>
    <row r="782" s="6" customFormat="1" ht="15.75" customHeight="1" x14ac:dyDescent="0.3"/>
    <row r="783" s="6" customFormat="1" ht="15.75" customHeight="1" x14ac:dyDescent="0.3"/>
    <row r="784" s="6" customFormat="1" ht="15.75" customHeight="1" x14ac:dyDescent="0.3"/>
    <row r="785" s="6" customFormat="1" ht="15.75" customHeight="1" x14ac:dyDescent="0.3"/>
    <row r="786" s="6" customFormat="1" ht="15.75" customHeight="1" x14ac:dyDescent="0.3"/>
    <row r="787" s="6" customFormat="1" ht="15.75" customHeight="1" x14ac:dyDescent="0.3"/>
    <row r="788" s="6" customFormat="1" ht="15.75" customHeight="1" x14ac:dyDescent="0.3"/>
    <row r="789" s="6" customFormat="1" ht="15.75" customHeight="1" x14ac:dyDescent="0.3"/>
    <row r="790" s="6" customFormat="1" ht="15.75" customHeight="1" x14ac:dyDescent="0.3"/>
    <row r="791" s="6" customFormat="1" ht="15.75" customHeight="1" x14ac:dyDescent="0.3"/>
    <row r="792" s="6" customFormat="1" ht="15.75" customHeight="1" x14ac:dyDescent="0.3"/>
    <row r="793" s="6" customFormat="1" ht="15.75" customHeight="1" x14ac:dyDescent="0.3"/>
    <row r="794" s="6" customFormat="1" ht="15.75" customHeight="1" x14ac:dyDescent="0.3"/>
    <row r="795" s="6" customFormat="1" ht="15.75" customHeight="1" x14ac:dyDescent="0.3"/>
    <row r="796" s="6" customFormat="1" ht="15.75" customHeight="1" x14ac:dyDescent="0.3"/>
    <row r="797" s="6" customFormat="1" ht="15.75" customHeight="1" x14ac:dyDescent="0.3"/>
    <row r="798" s="6" customFormat="1" ht="15.75" customHeight="1" x14ac:dyDescent="0.3"/>
    <row r="799" s="6" customFormat="1" ht="15.75" customHeight="1" x14ac:dyDescent="0.3"/>
    <row r="800" s="6" customFormat="1" ht="15.75" customHeight="1" x14ac:dyDescent="0.3"/>
    <row r="801" s="6" customFormat="1" ht="15.75" customHeight="1" x14ac:dyDescent="0.3"/>
    <row r="802" s="6" customFormat="1" ht="15.75" customHeight="1" x14ac:dyDescent="0.3"/>
    <row r="803" s="6" customFormat="1" ht="15.75" customHeight="1" x14ac:dyDescent="0.3"/>
    <row r="804" s="6" customFormat="1" ht="15.75" customHeight="1" x14ac:dyDescent="0.3"/>
    <row r="805" s="6" customFormat="1" ht="15.75" customHeight="1" x14ac:dyDescent="0.3"/>
    <row r="806" s="6" customFormat="1" ht="15.75" customHeight="1" x14ac:dyDescent="0.3"/>
    <row r="807" s="6" customFormat="1" ht="15.75" customHeight="1" x14ac:dyDescent="0.3"/>
    <row r="808" s="6" customFormat="1" ht="15.75" customHeight="1" x14ac:dyDescent="0.3"/>
    <row r="809" s="6" customFormat="1" ht="15.75" customHeight="1" x14ac:dyDescent="0.3"/>
    <row r="810" s="6" customFormat="1" ht="15.75" customHeight="1" x14ac:dyDescent="0.3"/>
    <row r="811" s="6" customFormat="1" ht="15.75" customHeight="1" x14ac:dyDescent="0.3"/>
    <row r="812" s="6" customFormat="1" ht="15.75" customHeight="1" x14ac:dyDescent="0.3"/>
    <row r="813" s="6" customFormat="1" ht="15.75" customHeight="1" x14ac:dyDescent="0.3"/>
    <row r="814" s="6" customFormat="1" ht="15.75" customHeight="1" x14ac:dyDescent="0.3"/>
    <row r="815" s="6" customFormat="1" ht="15.75" customHeight="1" x14ac:dyDescent="0.3"/>
    <row r="816" s="6" customFormat="1" ht="15.75" customHeight="1" x14ac:dyDescent="0.3"/>
    <row r="817" s="6" customFormat="1" ht="15.75" customHeight="1" x14ac:dyDescent="0.3"/>
    <row r="818" s="6" customFormat="1" ht="15.75" customHeight="1" x14ac:dyDescent="0.3"/>
    <row r="819" s="6" customFormat="1" ht="15.75" customHeight="1" x14ac:dyDescent="0.3"/>
    <row r="820" s="6" customFormat="1" ht="15.75" customHeight="1" x14ac:dyDescent="0.3"/>
    <row r="821" s="6" customFormat="1" ht="15.75" customHeight="1" x14ac:dyDescent="0.3"/>
    <row r="822" s="6" customFormat="1" ht="15.75" customHeight="1" x14ac:dyDescent="0.3"/>
    <row r="823" s="6" customFormat="1" ht="15.75" customHeight="1" x14ac:dyDescent="0.3"/>
    <row r="824" s="6" customFormat="1" ht="15.75" customHeight="1" x14ac:dyDescent="0.3"/>
    <row r="825" s="6" customFormat="1" ht="15.75" customHeight="1" x14ac:dyDescent="0.3"/>
    <row r="826" s="6" customFormat="1" ht="15.75" customHeight="1" x14ac:dyDescent="0.3"/>
    <row r="827" s="6" customFormat="1" ht="15.75" customHeight="1" x14ac:dyDescent="0.3"/>
    <row r="828" s="6" customFormat="1" ht="15.75" customHeight="1" x14ac:dyDescent="0.3"/>
    <row r="829" s="6" customFormat="1" ht="15.75" customHeight="1" x14ac:dyDescent="0.3"/>
    <row r="830" s="6" customFormat="1" ht="15.75" customHeight="1" x14ac:dyDescent="0.3"/>
    <row r="831" s="6" customFormat="1" ht="15.75" customHeight="1" x14ac:dyDescent="0.3"/>
    <row r="832" s="6" customFormat="1" ht="15.75" customHeight="1" x14ac:dyDescent="0.3"/>
    <row r="833" s="6" customFormat="1" ht="15.75" customHeight="1" x14ac:dyDescent="0.3"/>
    <row r="834" s="6" customFormat="1" ht="15.75" customHeight="1" x14ac:dyDescent="0.3"/>
    <row r="835" s="6" customFormat="1" ht="15.75" customHeight="1" x14ac:dyDescent="0.3"/>
    <row r="836" s="6" customFormat="1" ht="15.75" customHeight="1" x14ac:dyDescent="0.3"/>
    <row r="837" s="6" customFormat="1" ht="15.75" customHeight="1" x14ac:dyDescent="0.3"/>
    <row r="838" s="6" customFormat="1" ht="15.75" customHeight="1" x14ac:dyDescent="0.3"/>
    <row r="839" s="6" customFormat="1" ht="15.75" customHeight="1" x14ac:dyDescent="0.3"/>
    <row r="840" s="6" customFormat="1" ht="15.75" customHeight="1" x14ac:dyDescent="0.3"/>
    <row r="841" s="6" customFormat="1" ht="15.75" customHeight="1" x14ac:dyDescent="0.3"/>
    <row r="842" s="6" customFormat="1" ht="15.75" customHeight="1" x14ac:dyDescent="0.3"/>
    <row r="843" s="6" customFormat="1" ht="15.75" customHeight="1" x14ac:dyDescent="0.3"/>
    <row r="844" s="6" customFormat="1" ht="15.75" customHeight="1" x14ac:dyDescent="0.3"/>
    <row r="845" s="6" customFormat="1" ht="15.75" customHeight="1" x14ac:dyDescent="0.3"/>
    <row r="846" s="6" customFormat="1" ht="15.75" customHeight="1" x14ac:dyDescent="0.3"/>
    <row r="847" s="6" customFormat="1" ht="15.75" customHeight="1" x14ac:dyDescent="0.3"/>
    <row r="848" s="6" customFormat="1" ht="15.75" customHeight="1" x14ac:dyDescent="0.3"/>
    <row r="849" s="6" customFormat="1" ht="15.75" customHeight="1" x14ac:dyDescent="0.3"/>
    <row r="850" s="6" customFormat="1" ht="15.75" customHeight="1" x14ac:dyDescent="0.3"/>
    <row r="851" s="6" customFormat="1" ht="15.75" customHeight="1" x14ac:dyDescent="0.3"/>
    <row r="852" s="6" customFormat="1" ht="15.75" customHeight="1" x14ac:dyDescent="0.3"/>
    <row r="853" s="6" customFormat="1" ht="15.75" customHeight="1" x14ac:dyDescent="0.3"/>
    <row r="854" s="6" customFormat="1" ht="15.75" customHeight="1" x14ac:dyDescent="0.3"/>
    <row r="855" s="6" customFormat="1" ht="15.75" customHeight="1" x14ac:dyDescent="0.3"/>
    <row r="856" s="6" customFormat="1" ht="15.75" customHeight="1" x14ac:dyDescent="0.3"/>
    <row r="857" s="6" customFormat="1" ht="15.75" customHeight="1" x14ac:dyDescent="0.3"/>
    <row r="858" s="6" customFormat="1" ht="15.75" customHeight="1" x14ac:dyDescent="0.3"/>
    <row r="859" s="6" customFormat="1" ht="15.75" customHeight="1" x14ac:dyDescent="0.3"/>
    <row r="860" s="6" customFormat="1" ht="15.75" customHeight="1" x14ac:dyDescent="0.3"/>
    <row r="861" s="6" customFormat="1" ht="15.75" customHeight="1" x14ac:dyDescent="0.3"/>
    <row r="862" s="6" customFormat="1" ht="15.75" customHeight="1" x14ac:dyDescent="0.3"/>
    <row r="863" s="6" customFormat="1" ht="15.75" customHeight="1" x14ac:dyDescent="0.3"/>
    <row r="864" s="6" customFormat="1" ht="15.75" customHeight="1" x14ac:dyDescent="0.3"/>
    <row r="865" s="6" customFormat="1" ht="15.75" customHeight="1" x14ac:dyDescent="0.3"/>
    <row r="866" s="6" customFormat="1" ht="15.75" customHeight="1" x14ac:dyDescent="0.3"/>
    <row r="867" s="6" customFormat="1" ht="15.75" customHeight="1" x14ac:dyDescent="0.3"/>
    <row r="868" s="6" customFormat="1" ht="15.75" customHeight="1" x14ac:dyDescent="0.3"/>
    <row r="869" s="6" customFormat="1" ht="15.75" customHeight="1" x14ac:dyDescent="0.3"/>
    <row r="870" s="6" customFormat="1" ht="15.75" customHeight="1" x14ac:dyDescent="0.3"/>
    <row r="871" s="6" customFormat="1" ht="15.75" customHeight="1" x14ac:dyDescent="0.3"/>
    <row r="872" s="6" customFormat="1" ht="15.75" customHeight="1" x14ac:dyDescent="0.3"/>
    <row r="873" s="6" customFormat="1" ht="15.75" customHeight="1" x14ac:dyDescent="0.3"/>
    <row r="874" s="6" customFormat="1" ht="15.75" customHeight="1" x14ac:dyDescent="0.3"/>
    <row r="875" s="6" customFormat="1" ht="15.75" customHeight="1" x14ac:dyDescent="0.3"/>
    <row r="876" s="6" customFormat="1" ht="15.75" customHeight="1" x14ac:dyDescent="0.3"/>
    <row r="877" s="6" customFormat="1" ht="15.75" customHeight="1" x14ac:dyDescent="0.3"/>
    <row r="878" s="6" customFormat="1" ht="15.75" customHeight="1" x14ac:dyDescent="0.3"/>
    <row r="879" s="6" customFormat="1" ht="15.75" customHeight="1" x14ac:dyDescent="0.3"/>
    <row r="880" s="6" customFormat="1" ht="15.75" customHeight="1" x14ac:dyDescent="0.3"/>
    <row r="881" s="6" customFormat="1" ht="15.75" customHeight="1" x14ac:dyDescent="0.3"/>
    <row r="882" s="6" customFormat="1" ht="15.75" customHeight="1" x14ac:dyDescent="0.3"/>
    <row r="883" s="6" customFormat="1" ht="15.75" customHeight="1" x14ac:dyDescent="0.3"/>
    <row r="884" s="6" customFormat="1" ht="15.75" customHeight="1" x14ac:dyDescent="0.3"/>
    <row r="885" s="6" customFormat="1" ht="15.75" customHeight="1" x14ac:dyDescent="0.3"/>
    <row r="886" s="6" customFormat="1" ht="15.75" customHeight="1" x14ac:dyDescent="0.3"/>
    <row r="887" s="6" customFormat="1" ht="15.75" customHeight="1" x14ac:dyDescent="0.3"/>
    <row r="888" s="6" customFormat="1" ht="15.75" customHeight="1" x14ac:dyDescent="0.3"/>
    <row r="889" s="6" customFormat="1" ht="15.75" customHeight="1" x14ac:dyDescent="0.3"/>
    <row r="890" s="6" customFormat="1" ht="15.75" customHeight="1" x14ac:dyDescent="0.3"/>
    <row r="891" s="6" customFormat="1" ht="15.75" customHeight="1" x14ac:dyDescent="0.3"/>
    <row r="892" s="6" customFormat="1" ht="15.75" customHeight="1" x14ac:dyDescent="0.3"/>
    <row r="893" s="6" customFormat="1" ht="15.75" customHeight="1" x14ac:dyDescent="0.3"/>
    <row r="894" s="6" customFormat="1" ht="15.75" customHeight="1" x14ac:dyDescent="0.3"/>
    <row r="895" s="6" customFormat="1" ht="15.75" customHeight="1" x14ac:dyDescent="0.3"/>
    <row r="896" s="6" customFormat="1" ht="15.75" customHeight="1" x14ac:dyDescent="0.3"/>
    <row r="897" s="6" customFormat="1" ht="15.75" customHeight="1" x14ac:dyDescent="0.3"/>
    <row r="898" s="6" customFormat="1" ht="15.75" customHeight="1" x14ac:dyDescent="0.3"/>
    <row r="899" s="6" customFormat="1" ht="15.75" customHeight="1" x14ac:dyDescent="0.3"/>
    <row r="900" s="6" customFormat="1" ht="15.75" customHeight="1" x14ac:dyDescent="0.3"/>
    <row r="901" s="6" customFormat="1" ht="15.75" customHeight="1" x14ac:dyDescent="0.3"/>
    <row r="902" s="6" customFormat="1" ht="15.75" customHeight="1" x14ac:dyDescent="0.3"/>
    <row r="903" s="6" customFormat="1" ht="15.75" customHeight="1" x14ac:dyDescent="0.3"/>
    <row r="904" s="6" customFormat="1" ht="15.75" customHeight="1" x14ac:dyDescent="0.3"/>
    <row r="905" s="6" customFormat="1" ht="15.75" customHeight="1" x14ac:dyDescent="0.3"/>
    <row r="906" s="6" customFormat="1" ht="15.75" customHeight="1" x14ac:dyDescent="0.3"/>
    <row r="907" s="6" customFormat="1" ht="15.75" customHeight="1" x14ac:dyDescent="0.3"/>
    <row r="908" s="6" customFormat="1" ht="15.75" customHeight="1" x14ac:dyDescent="0.3"/>
    <row r="909" s="6" customFormat="1" ht="15.75" customHeight="1" x14ac:dyDescent="0.3"/>
    <row r="910" s="6" customFormat="1" ht="15.75" customHeight="1" x14ac:dyDescent="0.3"/>
    <row r="911" s="6" customFormat="1" ht="15.75" customHeight="1" x14ac:dyDescent="0.3"/>
    <row r="912" s="6" customFormat="1" ht="15.75" customHeight="1" x14ac:dyDescent="0.3"/>
    <row r="913" s="6" customFormat="1" ht="15.75" customHeight="1" x14ac:dyDescent="0.3"/>
    <row r="914" s="6" customFormat="1" ht="15.75" customHeight="1" x14ac:dyDescent="0.3"/>
    <row r="915" s="6" customFormat="1" ht="15.75" customHeight="1" x14ac:dyDescent="0.3"/>
    <row r="916" s="6" customFormat="1" ht="15.75" customHeight="1" x14ac:dyDescent="0.3"/>
    <row r="917" s="6" customFormat="1" ht="15.75" customHeight="1" x14ac:dyDescent="0.3"/>
    <row r="918" s="6" customFormat="1" ht="15.75" customHeight="1" x14ac:dyDescent="0.3"/>
    <row r="919" s="6" customFormat="1" ht="15.75" customHeight="1" x14ac:dyDescent="0.3"/>
    <row r="920" s="6" customFormat="1" ht="15.75" customHeight="1" x14ac:dyDescent="0.3"/>
    <row r="921" s="6" customFormat="1" ht="15.75" customHeight="1" x14ac:dyDescent="0.3"/>
    <row r="922" s="6" customFormat="1" ht="15.75" customHeight="1" x14ac:dyDescent="0.3"/>
    <row r="923" s="6" customFormat="1" ht="15.75" customHeight="1" x14ac:dyDescent="0.3"/>
    <row r="924" s="6" customFormat="1" ht="15.75" customHeight="1" x14ac:dyDescent="0.3"/>
    <row r="925" s="6" customFormat="1" ht="15.75" customHeight="1" x14ac:dyDescent="0.3"/>
    <row r="926" s="6" customFormat="1" ht="15.75" customHeight="1" x14ac:dyDescent="0.3"/>
    <row r="927" s="6" customFormat="1" ht="15.75" customHeight="1" x14ac:dyDescent="0.3"/>
    <row r="928" s="6" customFormat="1" ht="15.75" customHeight="1" x14ac:dyDescent="0.3"/>
    <row r="929" s="6" customFormat="1" ht="15.75" customHeight="1" x14ac:dyDescent="0.3"/>
    <row r="930" s="6" customFormat="1" ht="15.75" customHeight="1" x14ac:dyDescent="0.3"/>
    <row r="931" s="6" customFormat="1" ht="15.75" customHeight="1" x14ac:dyDescent="0.3"/>
    <row r="932" s="6" customFormat="1" ht="15.75" customHeight="1" x14ac:dyDescent="0.3"/>
    <row r="933" s="6" customFormat="1" ht="15.75" customHeight="1" x14ac:dyDescent="0.3"/>
    <row r="934" s="6" customFormat="1" ht="15.75" customHeight="1" x14ac:dyDescent="0.3"/>
    <row r="935" s="6" customFormat="1" ht="15.75" customHeight="1" x14ac:dyDescent="0.3"/>
    <row r="936" s="6" customFormat="1" ht="15.75" customHeight="1" x14ac:dyDescent="0.3"/>
    <row r="937" s="6" customFormat="1" ht="15.75" customHeight="1" x14ac:dyDescent="0.3"/>
    <row r="938" s="6" customFormat="1" ht="15.75" customHeight="1" x14ac:dyDescent="0.3"/>
    <row r="939" s="6" customFormat="1" ht="15.75" customHeight="1" x14ac:dyDescent="0.3"/>
    <row r="940" s="6" customFormat="1" ht="15.75" customHeight="1" x14ac:dyDescent="0.3"/>
    <row r="941" s="6" customFormat="1" ht="15.75" customHeight="1" x14ac:dyDescent="0.3"/>
    <row r="942" s="6" customFormat="1" ht="15.75" customHeight="1" x14ac:dyDescent="0.3"/>
    <row r="943" s="6" customFormat="1" ht="15.75" customHeight="1" x14ac:dyDescent="0.3"/>
    <row r="944" s="6" customFormat="1" ht="15.75" customHeight="1" x14ac:dyDescent="0.3"/>
    <row r="945" s="6" customFormat="1" ht="15.75" customHeight="1" x14ac:dyDescent="0.3"/>
    <row r="946" s="6" customFormat="1" ht="15.75" customHeight="1" x14ac:dyDescent="0.3"/>
    <row r="947" s="6" customFormat="1" ht="15.75" customHeight="1" x14ac:dyDescent="0.3"/>
    <row r="948" s="6" customFormat="1" ht="15.75" customHeight="1" x14ac:dyDescent="0.3"/>
    <row r="949" s="6" customFormat="1" ht="15.75" customHeight="1" x14ac:dyDescent="0.3"/>
    <row r="950" s="6" customFormat="1" ht="15.75" customHeight="1" x14ac:dyDescent="0.3"/>
    <row r="951" s="6" customFormat="1" ht="15.75" customHeight="1" x14ac:dyDescent="0.3"/>
    <row r="952" s="6" customFormat="1" ht="15.75" customHeight="1" x14ac:dyDescent="0.3"/>
    <row r="953" s="6" customFormat="1" ht="15.75" customHeight="1" x14ac:dyDescent="0.3"/>
    <row r="954" s="6" customFormat="1" ht="15.75" customHeight="1" x14ac:dyDescent="0.3"/>
    <row r="955" s="6" customFormat="1" ht="15.75" customHeight="1" x14ac:dyDescent="0.3"/>
    <row r="956" s="6" customFormat="1" ht="15.75" customHeight="1" x14ac:dyDescent="0.3"/>
    <row r="957" s="6" customFormat="1" ht="15.75" customHeight="1" x14ac:dyDescent="0.3"/>
    <row r="958" s="6" customFormat="1" ht="15.75" customHeight="1" x14ac:dyDescent="0.3"/>
    <row r="959" s="6" customFormat="1" ht="15.75" customHeight="1" x14ac:dyDescent="0.3"/>
    <row r="960" s="6" customFormat="1" ht="15.75" customHeight="1" x14ac:dyDescent="0.3"/>
    <row r="961" s="6" customFormat="1" ht="15.75" customHeight="1" x14ac:dyDescent="0.3"/>
    <row r="962" s="6" customFormat="1" ht="15.75" customHeight="1" x14ac:dyDescent="0.3"/>
    <row r="963" s="6" customFormat="1" ht="15.75" customHeight="1" x14ac:dyDescent="0.3"/>
    <row r="964" s="6" customFormat="1" ht="15.75" customHeight="1" x14ac:dyDescent="0.3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Backlog</vt:lpstr>
      <vt:lpstr>Burdonchart</vt:lpstr>
      <vt:lpstr>Sprints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PC-PR</dc:creator>
  <cp:lastModifiedBy>PC-PR</cp:lastModifiedBy>
  <dcterms:created xsi:type="dcterms:W3CDTF">2026-02-05T15:32:51Z</dcterms:created>
  <dcterms:modified xsi:type="dcterms:W3CDTF">2026-02-05T17:11:15Z</dcterms:modified>
</cp:coreProperties>
</file>