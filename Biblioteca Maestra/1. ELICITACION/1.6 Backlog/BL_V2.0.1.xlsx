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-PR\Desktop\27835_G3_ADS\Biblioteca Maestra\1. ELICITACION\1.6 Backlog\"/>
    </mc:Choice>
  </mc:AlternateContent>
  <xr:revisionPtr revIDLastSave="0" documentId="8_{4B03E350-A884-4F1F-A431-30370DA12197}" xr6:coauthVersionLast="47" xr6:coauthVersionMax="47" xr10:uidLastSave="{00000000-0000-0000-0000-000000000000}"/>
  <bookViews>
    <workbookView xWindow="-108" yWindow="-108" windowWidth="23256" windowHeight="12456" activeTab="1" xr2:uid="{5499CB88-B433-403D-B677-0BF56CAA3AB0}"/>
  </bookViews>
  <sheets>
    <sheet name="Backlog" sheetId="1" r:id="rId1"/>
    <sheet name="Burdon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" i="2" l="1"/>
  <c r="C26" i="2" s="1"/>
  <c r="D26" i="2" s="1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B25" i="2"/>
  <c r="C25" i="2" l="1"/>
  <c r="D25" i="2" s="1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</calcChain>
</file>

<file path=xl/sharedStrings.xml><?xml version="1.0" encoding="utf-8"?>
<sst xmlns="http://schemas.openxmlformats.org/spreadsheetml/2006/main" count="264" uniqueCount="172">
  <si>
    <t>ID</t>
  </si>
  <si>
    <t>Tema</t>
  </si>
  <si>
    <t>Como un..</t>
  </si>
  <si>
    <t>Necesito</t>
  </si>
  <si>
    <t>así podre...</t>
  </si>
  <si>
    <t>Encargado</t>
  </si>
  <si>
    <t>Prioridad</t>
  </si>
  <si>
    <t>Status</t>
  </si>
  <si>
    <t>RF001</t>
  </si>
  <si>
    <t>Gestionar acceso al sistema</t>
  </si>
  <si>
    <t>Usuario</t>
  </si>
  <si>
    <t>Acceder al sistema con credenciales seguras</t>
  </si>
  <si>
    <t>Usar el sistema según mi rol asignado</t>
  </si>
  <si>
    <t>Simone Medina</t>
  </si>
  <si>
    <t>Alta</t>
  </si>
  <si>
    <t>RF001.1</t>
  </si>
  <si>
    <t>Registrar cliente</t>
  </si>
  <si>
    <t>Cliente</t>
  </si>
  <si>
    <t>Crear una cuenta con mis datos personales</t>
  </si>
  <si>
    <t>Ingresar al sistema por primera vez</t>
  </si>
  <si>
    <t>Fernando Sandoval</t>
  </si>
  <si>
    <t>RF001.1.1</t>
  </si>
  <si>
    <t>Validar nombre del cliente</t>
  </si>
  <si>
    <t>Sistema</t>
  </si>
  <si>
    <t>Validar que el nombre sea correcto</t>
  </si>
  <si>
    <t>Evitar registros inválidos</t>
  </si>
  <si>
    <t>Zaith Manangón</t>
  </si>
  <si>
    <t>Media</t>
  </si>
  <si>
    <t>RF001.1.2</t>
  </si>
  <si>
    <t>Validar correo del cliente</t>
  </si>
  <si>
    <t>Validar formato y unicidad del correo</t>
  </si>
  <si>
    <t>Evitar duplicidad de usuarios</t>
  </si>
  <si>
    <t>Oswaldo Tipán</t>
  </si>
  <si>
    <t>RF001.1.3</t>
  </si>
  <si>
    <t>Validar contraseña</t>
  </si>
  <si>
    <t>Verificar seguridad de la contraseña</t>
  </si>
  <si>
    <t>Proteger la información del usuario</t>
  </si>
  <si>
    <t>RF001.2</t>
  </si>
  <si>
    <t>Registrar nuevo asistente</t>
  </si>
  <si>
    <t>Gerente</t>
  </si>
  <si>
    <t>Registrar asistentes del sistema</t>
  </si>
  <si>
    <t>Delegar funciones operativas</t>
  </si>
  <si>
    <t>RF001.2.1</t>
  </si>
  <si>
    <t>Validar datos del asistente</t>
  </si>
  <si>
    <t>Verificar datos ingresados</t>
  </si>
  <si>
    <t>Garantizar información válida</t>
  </si>
  <si>
    <t>RF001.3</t>
  </si>
  <si>
    <t>Iniciar sesión</t>
  </si>
  <si>
    <t>Ingresar con correo y contraseña</t>
  </si>
  <si>
    <t>Acceder a mi entorno del sistema</t>
  </si>
  <si>
    <t>RF001.4</t>
  </si>
  <si>
    <t>Recuperar contraseña</t>
  </si>
  <si>
    <t>Restablecer mi contraseña</t>
  </si>
  <si>
    <t>Recuperar el acceso al sistema</t>
  </si>
  <si>
    <t>RF001.5</t>
  </si>
  <si>
    <t>Cerrar sesión</t>
  </si>
  <si>
    <t>Cerrar mi sesión</t>
  </si>
  <si>
    <t>Salir del sistema de forma segura</t>
  </si>
  <si>
    <t>RF001.6</t>
  </si>
  <si>
    <t>Acceder al dashboard</t>
  </si>
  <si>
    <t>Ver una pantalla inicial</t>
  </si>
  <si>
    <t>Acceder rápido a funciones principales</t>
  </si>
  <si>
    <t>REALIZADO</t>
  </si>
  <si>
    <t>Horas Estimadas</t>
  </si>
  <si>
    <t>REQUERIMIENTO</t>
  </si>
  <si>
    <t>Estimado</t>
  </si>
  <si>
    <t>Día 20</t>
  </si>
  <si>
    <t>Día 19</t>
  </si>
  <si>
    <t>Día 18</t>
  </si>
  <si>
    <t>Día 17</t>
  </si>
  <si>
    <t>Día 16</t>
  </si>
  <si>
    <t>Día 15</t>
  </si>
  <si>
    <t>Día 14</t>
  </si>
  <si>
    <t>Día 13</t>
  </si>
  <si>
    <t>Día 12</t>
  </si>
  <si>
    <t>Día 11</t>
  </si>
  <si>
    <t>Día 10</t>
  </si>
  <si>
    <t>Día 9</t>
  </si>
  <si>
    <t>Día 8</t>
  </si>
  <si>
    <t>Día 7</t>
  </si>
  <si>
    <t>Día 6</t>
  </si>
  <si>
    <t>Día 5</t>
  </si>
  <si>
    <t>Día 4</t>
  </si>
  <si>
    <t>Día 3</t>
  </si>
  <si>
    <t>Día 2</t>
  </si>
  <si>
    <t>Día 1</t>
  </si>
  <si>
    <t>Total de Horas</t>
  </si>
  <si>
    <t>REQ001-1</t>
  </si>
  <si>
    <t>REQ001-2</t>
  </si>
  <si>
    <t>REQ001-3</t>
  </si>
  <si>
    <t>REQ001-4</t>
  </si>
  <si>
    <t>REQ002-1</t>
  </si>
  <si>
    <t>RF002</t>
  </si>
  <si>
    <t>Gestionar perfil de usuario</t>
  </si>
  <si>
    <t>Actualizar mis datos personales</t>
  </si>
  <si>
    <t>Mantener mi información actualizada</t>
  </si>
  <si>
    <t>RF005</t>
  </si>
  <si>
    <t>Gestionar usuarios</t>
  </si>
  <si>
    <t>Administrar usuarios del sistema</t>
  </si>
  <si>
    <t>Controlar accesos y permisos</t>
  </si>
  <si>
    <t>RF005.1</t>
  </si>
  <si>
    <t>Listar usuarios</t>
  </si>
  <si>
    <t>Ver todos los usuarios</t>
  </si>
  <si>
    <t>Administrar cuentas existentes</t>
  </si>
  <si>
    <t>RF005.2</t>
  </si>
  <si>
    <t>Desactivar usuario</t>
  </si>
  <si>
    <t>Inhabilitar cuentas</t>
  </si>
  <si>
    <t>Evitar accesos no autorizados</t>
  </si>
  <si>
    <t>RF006</t>
  </si>
  <si>
    <t>Gestionar créditos</t>
  </si>
  <si>
    <t>Solicitar y consultar créditos</t>
  </si>
  <si>
    <t>Acceder a servicios financieros</t>
  </si>
  <si>
    <t>RF006.1</t>
  </si>
  <si>
    <t>Solicitar crédito</t>
  </si>
  <si>
    <t>Registrar solicitud de crédito</t>
  </si>
  <si>
    <t>Iniciar proceso de aprobación</t>
  </si>
  <si>
    <t>RF006.2</t>
  </si>
  <si>
    <t>Consultar estado de crédito</t>
  </si>
  <si>
    <t>Ver estado de mi crédito</t>
  </si>
  <si>
    <t>Conocer avance de aprobación</t>
  </si>
  <si>
    <t>RF006.3</t>
  </si>
  <si>
    <t>Aprobar crédito</t>
  </si>
  <si>
    <t>Autorizar créditos solicitados</t>
  </si>
  <si>
    <t>Controlar riesgos financieros</t>
  </si>
  <si>
    <t>RF007</t>
  </si>
  <si>
    <t>Gestionar pagos</t>
  </si>
  <si>
    <t>Registrar pagos de mis créditos</t>
  </si>
  <si>
    <t>Cumplir con mis obligaciones</t>
  </si>
  <si>
    <t>RF008</t>
  </si>
  <si>
    <t>Gestionar contenidos</t>
  </si>
  <si>
    <t>Asistente</t>
  </si>
  <si>
    <t>Administrar contenidos del sistema</t>
  </si>
  <si>
    <t>Mantener información actualizada</t>
  </si>
  <si>
    <t>RF009</t>
  </si>
  <si>
    <t>Generar reportes</t>
  </si>
  <si>
    <t>Obtener reportes del sistema</t>
  </si>
  <si>
    <t>Analizar información clave</t>
  </si>
  <si>
    <t>RF009.1</t>
  </si>
  <si>
    <t>Generar reporte de usuarios</t>
  </si>
  <si>
    <t>Ver estadísticas de usuarios</t>
  </si>
  <si>
    <t>Evaluar uso del sistema</t>
  </si>
  <si>
    <t>RF009.2</t>
  </si>
  <si>
    <t>Generar reporte de créditos</t>
  </si>
  <si>
    <t>Consultar créditos otorgados</t>
  </si>
  <si>
    <t>Controlar cartera</t>
  </si>
  <si>
    <t>RF010</t>
  </si>
  <si>
    <t>Gestionar notificaciones</t>
  </si>
  <si>
    <t>Recibir alertas del sistema</t>
  </si>
  <si>
    <t>Estar informado de eventos importantes</t>
  </si>
  <si>
    <t>RF012</t>
  </si>
  <si>
    <t>Registrar auditoría</t>
  </si>
  <si>
    <t>Guardar eventos importantes</t>
  </si>
  <si>
    <t>Mantener trazabilidad</t>
  </si>
  <si>
    <t>REQ002-2</t>
  </si>
  <si>
    <t>REQ005-1</t>
  </si>
  <si>
    <t>REQ005-2</t>
  </si>
  <si>
    <t>REQ006-1</t>
  </si>
  <si>
    <t>REQ006-2</t>
  </si>
  <si>
    <t>REQ006-3</t>
  </si>
  <si>
    <t>REQ007-1</t>
  </si>
  <si>
    <t>REQ007-2</t>
  </si>
  <si>
    <t>REQ008-1</t>
  </si>
  <si>
    <t>REQ008-2</t>
  </si>
  <si>
    <t>REQ009-1</t>
  </si>
  <si>
    <t>REQ009-2</t>
  </si>
  <si>
    <t>REQ010-1</t>
  </si>
  <si>
    <t>REQ010-2</t>
  </si>
  <si>
    <t>REQ012-1</t>
  </si>
  <si>
    <t>REQ012-2</t>
  </si>
  <si>
    <t>REQ013-1</t>
  </si>
  <si>
    <t>REQ013-2</t>
  </si>
  <si>
    <t>Horas Estimadas
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</si>
</sst>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4" borderId="2" xfId="1" applyFont="1" applyFill="1" applyBorder="1"/>
    <xf numFmtId="0" fontId="3" fillId="4" borderId="4" xfId="1" applyFont="1" applyFill="1" applyBorder="1"/>
    <xf numFmtId="0" fontId="0" fillId="3" borderId="1" xfId="0" applyFill="1" applyBorder="1" applyAlignment="1">
      <alignment horizontal="center"/>
    </xf>
    <xf numFmtId="0" fontId="3" fillId="5" borderId="5" xfId="1" applyFont="1" applyFill="1" applyBorder="1"/>
    <xf numFmtId="0" fontId="3" fillId="5" borderId="1" xfId="1" applyFont="1" applyFill="1" applyBorder="1"/>
    <xf numFmtId="0" fontId="3" fillId="5" borderId="3" xfId="1" applyFont="1" applyFill="1" applyBorder="1"/>
    <xf numFmtId="0" fontId="0" fillId="6" borderId="1" xfId="0" applyFill="1" applyBorder="1" applyAlignment="1">
      <alignment horizontal="center"/>
    </xf>
  </cellXfs>
  <cellStyles count="2">
    <cellStyle name="Normal" xfId="0" builtinId="0"/>
    <cellStyle name="Normal 2" xfId="1" xr:uid="{99EBE0EF-A479-4C95-AD1F-A4537E45A36E}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burdonchart-style" pivot="0" count="3" xr9:uid="{506C7CB1-F4BD-4EB1-992B-3ABA053A9C1D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Burdonchart!$B$25:$V$25</c:f>
              <c:numCache>
                <c:formatCode>General</c:formatCode>
                <c:ptCount val="21"/>
                <c:pt idx="0">
                  <c:v>82</c:v>
                </c:pt>
                <c:pt idx="1">
                  <c:v>82</c:v>
                </c:pt>
                <c:pt idx="2">
                  <c:v>81</c:v>
                </c:pt>
                <c:pt idx="3">
                  <c:v>79</c:v>
                </c:pt>
                <c:pt idx="4">
                  <c:v>77</c:v>
                </c:pt>
                <c:pt idx="5">
                  <c:v>72</c:v>
                </c:pt>
                <c:pt idx="6">
                  <c:v>67</c:v>
                </c:pt>
                <c:pt idx="7">
                  <c:v>61</c:v>
                </c:pt>
                <c:pt idx="8">
                  <c:v>54</c:v>
                </c:pt>
                <c:pt idx="9">
                  <c:v>46</c:v>
                </c:pt>
                <c:pt idx="10">
                  <c:v>40</c:v>
                </c:pt>
                <c:pt idx="11">
                  <c:v>32</c:v>
                </c:pt>
                <c:pt idx="12">
                  <c:v>24</c:v>
                </c:pt>
                <c:pt idx="13">
                  <c:v>17</c:v>
                </c:pt>
                <c:pt idx="14">
                  <c:v>11</c:v>
                </c:pt>
                <c:pt idx="15">
                  <c:v>5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4-4532-A35D-603B8782609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Burdonchart!$B$26:$V$26</c:f>
              <c:numCache>
                <c:formatCode>General</c:formatCode>
                <c:ptCount val="21"/>
                <c:pt idx="0">
                  <c:v>82</c:v>
                </c:pt>
                <c:pt idx="1">
                  <c:v>77.900000000000006</c:v>
                </c:pt>
                <c:pt idx="2">
                  <c:v>73.800000000000011</c:v>
                </c:pt>
                <c:pt idx="3">
                  <c:v>69.700000000000017</c:v>
                </c:pt>
                <c:pt idx="4">
                  <c:v>65.600000000000023</c:v>
                </c:pt>
                <c:pt idx="5">
                  <c:v>61.500000000000021</c:v>
                </c:pt>
                <c:pt idx="6">
                  <c:v>57.40000000000002</c:v>
                </c:pt>
                <c:pt idx="7">
                  <c:v>53.300000000000018</c:v>
                </c:pt>
                <c:pt idx="8">
                  <c:v>49.200000000000017</c:v>
                </c:pt>
                <c:pt idx="9">
                  <c:v>45.100000000000016</c:v>
                </c:pt>
                <c:pt idx="10">
                  <c:v>41.000000000000014</c:v>
                </c:pt>
                <c:pt idx="11">
                  <c:v>36.900000000000013</c:v>
                </c:pt>
                <c:pt idx="12">
                  <c:v>32.800000000000011</c:v>
                </c:pt>
                <c:pt idx="13">
                  <c:v>28.70000000000001</c:v>
                </c:pt>
                <c:pt idx="14">
                  <c:v>24.600000000000009</c:v>
                </c:pt>
                <c:pt idx="15">
                  <c:v>20.500000000000007</c:v>
                </c:pt>
                <c:pt idx="16">
                  <c:v>16.400000000000006</c:v>
                </c:pt>
                <c:pt idx="17">
                  <c:v>12.300000000000006</c:v>
                </c:pt>
                <c:pt idx="18">
                  <c:v>8.2000000000000064</c:v>
                </c:pt>
                <c:pt idx="19">
                  <c:v>4.1000000000000068</c:v>
                </c:pt>
                <c:pt idx="20">
                  <c:v>7.1054273576010019E-15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04-4532-A35D-603B87826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325152"/>
        <c:axId val="472325632"/>
      </c:lineChart>
      <c:catAx>
        <c:axId val="47232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72325632"/>
        <c:crosses val="autoZero"/>
        <c:auto val="1"/>
        <c:lblAlgn val="ctr"/>
        <c:lblOffset val="100"/>
        <c:noMultiLvlLbl val="0"/>
      </c:catAx>
      <c:valAx>
        <c:axId val="47232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47232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37</xdr:row>
      <xdr:rowOff>28575</xdr:rowOff>
    </xdr:from>
    <xdr:to>
      <xdr:col>10</xdr:col>
      <xdr:colOff>714375</xdr:colOff>
      <xdr:row>51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B88093-8F50-D571-E8E3-83DA3AED5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92DA-31EC-495D-BB70-15F9A910D4EC}">
  <dimension ref="A2:H28"/>
  <sheetViews>
    <sheetView workbookViewId="0">
      <selection activeCell="F3" sqref="F3"/>
    </sheetView>
  </sheetViews>
  <sheetFormatPr baseColWidth="10" defaultRowHeight="14.4" x14ac:dyDescent="0.3"/>
  <cols>
    <col min="2" max="2" width="30.109375" customWidth="1"/>
    <col min="3" max="3" width="11.6640625" customWidth="1"/>
    <col min="4" max="4" width="39.109375" customWidth="1"/>
    <col min="5" max="5" width="32.21875" customWidth="1"/>
    <col min="6" max="6" width="18.6640625" customWidth="1"/>
  </cols>
  <sheetData>
    <row r="2" spans="1:8" s="3" customForma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2" t="s">
        <v>62</v>
      </c>
    </row>
    <row r="4" spans="1:8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14</v>
      </c>
      <c r="H4" s="2" t="s">
        <v>62</v>
      </c>
    </row>
    <row r="5" spans="1:8" x14ac:dyDescent="0.3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2" t="s">
        <v>62</v>
      </c>
    </row>
    <row r="6" spans="1:8" x14ac:dyDescent="0.3">
      <c r="A6" s="1" t="s">
        <v>28</v>
      </c>
      <c r="B6" s="1" t="s">
        <v>29</v>
      </c>
      <c r="C6" s="1" t="s">
        <v>23</v>
      </c>
      <c r="D6" s="1" t="s">
        <v>30</v>
      </c>
      <c r="E6" s="1" t="s">
        <v>31</v>
      </c>
      <c r="F6" s="1" t="s">
        <v>32</v>
      </c>
      <c r="G6" s="1" t="s">
        <v>14</v>
      </c>
      <c r="H6" s="2" t="s">
        <v>62</v>
      </c>
    </row>
    <row r="7" spans="1:8" x14ac:dyDescent="0.3">
      <c r="A7" s="1" t="s">
        <v>33</v>
      </c>
      <c r="B7" s="1" t="s">
        <v>34</v>
      </c>
      <c r="C7" s="1" t="s">
        <v>23</v>
      </c>
      <c r="D7" s="1" t="s">
        <v>35</v>
      </c>
      <c r="E7" s="1" t="s">
        <v>36</v>
      </c>
      <c r="F7" s="1" t="s">
        <v>13</v>
      </c>
      <c r="G7" s="1" t="s">
        <v>14</v>
      </c>
      <c r="H7" s="2" t="s">
        <v>62</v>
      </c>
    </row>
    <row r="8" spans="1:8" x14ac:dyDescent="0.3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20</v>
      </c>
      <c r="G8" s="1" t="s">
        <v>14</v>
      </c>
      <c r="H8" s="2" t="s">
        <v>62</v>
      </c>
    </row>
    <row r="9" spans="1:8" x14ac:dyDescent="0.3">
      <c r="A9" s="1" t="s">
        <v>42</v>
      </c>
      <c r="B9" s="1" t="s">
        <v>43</v>
      </c>
      <c r="C9" s="1" t="s">
        <v>23</v>
      </c>
      <c r="D9" s="1" t="s">
        <v>44</v>
      </c>
      <c r="E9" s="1" t="s">
        <v>45</v>
      </c>
      <c r="F9" s="1" t="s">
        <v>26</v>
      </c>
      <c r="G9" s="1" t="s">
        <v>27</v>
      </c>
      <c r="H9" s="2" t="s">
        <v>62</v>
      </c>
    </row>
    <row r="10" spans="1:8" x14ac:dyDescent="0.3">
      <c r="A10" s="1" t="s">
        <v>46</v>
      </c>
      <c r="B10" s="1" t="s">
        <v>47</v>
      </c>
      <c r="C10" s="1" t="s">
        <v>10</v>
      </c>
      <c r="D10" s="1" t="s">
        <v>48</v>
      </c>
      <c r="E10" s="1" t="s">
        <v>49</v>
      </c>
      <c r="F10" s="1" t="s">
        <v>32</v>
      </c>
      <c r="G10" s="1" t="s">
        <v>14</v>
      </c>
      <c r="H10" s="2" t="s">
        <v>62</v>
      </c>
    </row>
    <row r="11" spans="1:8" x14ac:dyDescent="0.3">
      <c r="A11" s="1" t="s">
        <v>50</v>
      </c>
      <c r="B11" s="1" t="s">
        <v>51</v>
      </c>
      <c r="C11" s="1" t="s">
        <v>10</v>
      </c>
      <c r="D11" s="1" t="s">
        <v>52</v>
      </c>
      <c r="E11" s="1" t="s">
        <v>53</v>
      </c>
      <c r="F11" s="1" t="s">
        <v>13</v>
      </c>
      <c r="G11" s="1" t="s">
        <v>14</v>
      </c>
      <c r="H11" s="2" t="s">
        <v>62</v>
      </c>
    </row>
    <row r="12" spans="1:8" x14ac:dyDescent="0.3">
      <c r="A12" s="1" t="s">
        <v>54</v>
      </c>
      <c r="B12" s="1" t="s">
        <v>55</v>
      </c>
      <c r="C12" s="1" t="s">
        <v>10</v>
      </c>
      <c r="D12" s="1" t="s">
        <v>56</v>
      </c>
      <c r="E12" s="1" t="s">
        <v>57</v>
      </c>
      <c r="F12" s="1" t="s">
        <v>20</v>
      </c>
      <c r="G12" s="1" t="s">
        <v>27</v>
      </c>
      <c r="H12" s="2" t="s">
        <v>62</v>
      </c>
    </row>
    <row r="13" spans="1:8" x14ac:dyDescent="0.3">
      <c r="A13" s="1" t="s">
        <v>58</v>
      </c>
      <c r="B13" s="1" t="s">
        <v>59</v>
      </c>
      <c r="C13" s="1" t="s">
        <v>10</v>
      </c>
      <c r="D13" s="1" t="s">
        <v>60</v>
      </c>
      <c r="E13" s="1" t="s">
        <v>61</v>
      </c>
      <c r="F13" s="1" t="s">
        <v>26</v>
      </c>
      <c r="G13" s="1" t="s">
        <v>27</v>
      </c>
      <c r="H13" s="2" t="s">
        <v>62</v>
      </c>
    </row>
    <row r="14" spans="1:8" x14ac:dyDescent="0.3">
      <c r="A14" s="5" t="s">
        <v>92</v>
      </c>
      <c r="B14" s="5" t="s">
        <v>93</v>
      </c>
      <c r="C14" s="5" t="s">
        <v>10</v>
      </c>
      <c r="D14" s="5" t="s">
        <v>94</v>
      </c>
      <c r="E14" s="5" t="s">
        <v>95</v>
      </c>
      <c r="F14" s="5" t="s">
        <v>13</v>
      </c>
      <c r="G14" s="5" t="s">
        <v>14</v>
      </c>
      <c r="H14" s="2" t="s">
        <v>62</v>
      </c>
    </row>
    <row r="15" spans="1:8" x14ac:dyDescent="0.3">
      <c r="A15" s="5" t="s">
        <v>96</v>
      </c>
      <c r="B15" s="5" t="s">
        <v>97</v>
      </c>
      <c r="C15" s="5" t="s">
        <v>39</v>
      </c>
      <c r="D15" s="5" t="s">
        <v>98</v>
      </c>
      <c r="E15" s="5" t="s">
        <v>99</v>
      </c>
      <c r="F15" s="5" t="s">
        <v>20</v>
      </c>
      <c r="G15" s="5" t="s">
        <v>14</v>
      </c>
      <c r="H15" s="2" t="s">
        <v>62</v>
      </c>
    </row>
    <row r="16" spans="1:8" x14ac:dyDescent="0.3">
      <c r="A16" s="5" t="s">
        <v>100</v>
      </c>
      <c r="B16" s="5" t="s">
        <v>101</v>
      </c>
      <c r="C16" s="5" t="s">
        <v>39</v>
      </c>
      <c r="D16" s="5" t="s">
        <v>102</v>
      </c>
      <c r="E16" s="5" t="s">
        <v>103</v>
      </c>
      <c r="F16" s="5" t="s">
        <v>32</v>
      </c>
      <c r="G16" s="5" t="s">
        <v>27</v>
      </c>
      <c r="H16" s="2" t="s">
        <v>62</v>
      </c>
    </row>
    <row r="17" spans="1:8" x14ac:dyDescent="0.3">
      <c r="A17" s="5" t="s">
        <v>104</v>
      </c>
      <c r="B17" s="5" t="s">
        <v>105</v>
      </c>
      <c r="C17" s="5" t="s">
        <v>39</v>
      </c>
      <c r="D17" s="5" t="s">
        <v>106</v>
      </c>
      <c r="E17" s="5" t="s">
        <v>107</v>
      </c>
      <c r="F17" s="5" t="s">
        <v>13</v>
      </c>
      <c r="G17" s="5" t="s">
        <v>14</v>
      </c>
      <c r="H17" s="2" t="s">
        <v>62</v>
      </c>
    </row>
    <row r="18" spans="1:8" x14ac:dyDescent="0.3">
      <c r="A18" s="5" t="s">
        <v>108</v>
      </c>
      <c r="B18" s="5" t="s">
        <v>109</v>
      </c>
      <c r="C18" s="5" t="s">
        <v>17</v>
      </c>
      <c r="D18" s="5" t="s">
        <v>110</v>
      </c>
      <c r="E18" s="5" t="s">
        <v>111</v>
      </c>
      <c r="F18" s="5" t="s">
        <v>26</v>
      </c>
      <c r="G18" s="5" t="s">
        <v>14</v>
      </c>
      <c r="H18" s="2" t="s">
        <v>62</v>
      </c>
    </row>
    <row r="19" spans="1:8" x14ac:dyDescent="0.3">
      <c r="A19" s="5" t="s">
        <v>112</v>
      </c>
      <c r="B19" s="5" t="s">
        <v>113</v>
      </c>
      <c r="C19" s="5" t="s">
        <v>17</v>
      </c>
      <c r="D19" s="5" t="s">
        <v>114</v>
      </c>
      <c r="E19" s="5" t="s">
        <v>115</v>
      </c>
      <c r="F19" s="5" t="s">
        <v>20</v>
      </c>
      <c r="G19" s="5" t="s">
        <v>14</v>
      </c>
      <c r="H19" s="2" t="s">
        <v>62</v>
      </c>
    </row>
    <row r="20" spans="1:8" x14ac:dyDescent="0.3">
      <c r="A20" s="5" t="s">
        <v>116</v>
      </c>
      <c r="B20" s="5" t="s">
        <v>117</v>
      </c>
      <c r="C20" s="5" t="s">
        <v>17</v>
      </c>
      <c r="D20" s="5" t="s">
        <v>118</v>
      </c>
      <c r="E20" s="5" t="s">
        <v>119</v>
      </c>
      <c r="F20" s="5" t="s">
        <v>32</v>
      </c>
      <c r="G20" s="5" t="s">
        <v>27</v>
      </c>
      <c r="H20" s="2" t="s">
        <v>62</v>
      </c>
    </row>
    <row r="21" spans="1:8" x14ac:dyDescent="0.3">
      <c r="A21" s="5" t="s">
        <v>120</v>
      </c>
      <c r="B21" s="5" t="s">
        <v>121</v>
      </c>
      <c r="C21" s="5" t="s">
        <v>39</v>
      </c>
      <c r="D21" s="5" t="s">
        <v>122</v>
      </c>
      <c r="E21" s="5" t="s">
        <v>123</v>
      </c>
      <c r="F21" s="5" t="s">
        <v>13</v>
      </c>
      <c r="G21" s="5" t="s">
        <v>14</v>
      </c>
      <c r="H21" s="2" t="s">
        <v>62</v>
      </c>
    </row>
    <row r="22" spans="1:8" x14ac:dyDescent="0.3">
      <c r="A22" s="5" t="s">
        <v>124</v>
      </c>
      <c r="B22" s="5" t="s">
        <v>125</v>
      </c>
      <c r="C22" s="5" t="s">
        <v>17</v>
      </c>
      <c r="D22" s="5" t="s">
        <v>126</v>
      </c>
      <c r="E22" s="5" t="s">
        <v>127</v>
      </c>
      <c r="F22" s="5" t="s">
        <v>20</v>
      </c>
      <c r="G22" s="5" t="s">
        <v>14</v>
      </c>
      <c r="H22" s="2" t="s">
        <v>62</v>
      </c>
    </row>
    <row r="23" spans="1:8" x14ac:dyDescent="0.3">
      <c r="A23" s="5" t="s">
        <v>128</v>
      </c>
      <c r="B23" s="5" t="s">
        <v>129</v>
      </c>
      <c r="C23" s="5" t="s">
        <v>130</v>
      </c>
      <c r="D23" s="5" t="s">
        <v>131</v>
      </c>
      <c r="E23" s="5" t="s">
        <v>132</v>
      </c>
      <c r="F23" s="5" t="s">
        <v>13</v>
      </c>
      <c r="G23" s="5" t="s">
        <v>14</v>
      </c>
      <c r="H23" s="2" t="s">
        <v>62</v>
      </c>
    </row>
    <row r="24" spans="1:8" x14ac:dyDescent="0.3">
      <c r="A24" s="5" t="s">
        <v>133</v>
      </c>
      <c r="B24" s="5" t="s">
        <v>134</v>
      </c>
      <c r="C24" s="5" t="s">
        <v>39</v>
      </c>
      <c r="D24" s="5" t="s">
        <v>135</v>
      </c>
      <c r="E24" s="5" t="s">
        <v>136</v>
      </c>
      <c r="F24" s="5" t="s">
        <v>32</v>
      </c>
      <c r="G24" s="5" t="s">
        <v>27</v>
      </c>
      <c r="H24" s="2" t="s">
        <v>62</v>
      </c>
    </row>
    <row r="25" spans="1:8" x14ac:dyDescent="0.3">
      <c r="A25" s="5" t="s">
        <v>137</v>
      </c>
      <c r="B25" s="5" t="s">
        <v>138</v>
      </c>
      <c r="C25" s="5" t="s">
        <v>39</v>
      </c>
      <c r="D25" s="5" t="s">
        <v>139</v>
      </c>
      <c r="E25" s="5" t="s">
        <v>140</v>
      </c>
      <c r="F25" s="5" t="s">
        <v>13</v>
      </c>
      <c r="G25" s="5" t="s">
        <v>27</v>
      </c>
      <c r="H25" s="2" t="s">
        <v>62</v>
      </c>
    </row>
    <row r="26" spans="1:8" x14ac:dyDescent="0.3">
      <c r="A26" s="5" t="s">
        <v>141</v>
      </c>
      <c r="B26" s="5" t="s">
        <v>142</v>
      </c>
      <c r="C26" s="5" t="s">
        <v>39</v>
      </c>
      <c r="D26" s="5" t="s">
        <v>143</v>
      </c>
      <c r="E26" s="5" t="s">
        <v>144</v>
      </c>
      <c r="F26" s="5" t="s">
        <v>26</v>
      </c>
      <c r="G26" s="5" t="s">
        <v>27</v>
      </c>
      <c r="H26" s="2" t="s">
        <v>62</v>
      </c>
    </row>
    <row r="27" spans="1:8" x14ac:dyDescent="0.3">
      <c r="A27" s="5" t="s">
        <v>145</v>
      </c>
      <c r="B27" s="5" t="s">
        <v>146</v>
      </c>
      <c r="C27" s="5" t="s">
        <v>10</v>
      </c>
      <c r="D27" s="5" t="s">
        <v>147</v>
      </c>
      <c r="E27" s="5" t="s">
        <v>148</v>
      </c>
      <c r="F27" s="5" t="s">
        <v>20</v>
      </c>
      <c r="G27" s="5" t="s">
        <v>27</v>
      </c>
      <c r="H27" s="2" t="s">
        <v>62</v>
      </c>
    </row>
    <row r="28" spans="1:8" x14ac:dyDescent="0.3">
      <c r="A28" s="5" t="s">
        <v>149</v>
      </c>
      <c r="B28" s="5" t="s">
        <v>150</v>
      </c>
      <c r="C28" s="5" t="s">
        <v>23</v>
      </c>
      <c r="D28" s="5" t="s">
        <v>151</v>
      </c>
      <c r="E28" s="5" t="s">
        <v>152</v>
      </c>
      <c r="F28" s="5" t="s">
        <v>26</v>
      </c>
      <c r="G28" s="5" t="s">
        <v>14</v>
      </c>
      <c r="H28" s="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006B-4197-4B7B-AFBE-8179259C0D48}">
  <dimension ref="A1:W26"/>
  <sheetViews>
    <sheetView tabSelected="1" topLeftCell="A19" zoomScale="70" zoomScaleNormal="70" workbookViewId="0">
      <selection activeCell="D38" sqref="D38"/>
    </sheetView>
  </sheetViews>
  <sheetFormatPr baseColWidth="10" defaultRowHeight="14.4" x14ac:dyDescent="0.3"/>
  <cols>
    <col min="1" max="1" width="18.77734375" customWidth="1"/>
    <col min="3" max="3" width="11.77734375" bestFit="1" customWidth="1"/>
    <col min="23" max="23" width="16" customWidth="1"/>
  </cols>
  <sheetData>
    <row r="1" spans="1:23" x14ac:dyDescent="0.3">
      <c r="A1" s="8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71</v>
      </c>
      <c r="I1" s="8" t="s">
        <v>72</v>
      </c>
      <c r="J1" s="8" t="s">
        <v>73</v>
      </c>
      <c r="K1" s="8" t="s">
        <v>74</v>
      </c>
      <c r="L1" s="8" t="s">
        <v>75</v>
      </c>
      <c r="M1" s="8" t="s">
        <v>76</v>
      </c>
      <c r="N1" s="8" t="s">
        <v>77</v>
      </c>
      <c r="O1" s="8" t="s">
        <v>78</v>
      </c>
      <c r="P1" s="8" t="s">
        <v>79</v>
      </c>
      <c r="Q1" s="8" t="s">
        <v>80</v>
      </c>
      <c r="R1" s="8" t="s">
        <v>81</v>
      </c>
      <c r="S1" s="8" t="s">
        <v>82</v>
      </c>
      <c r="T1" s="8" t="s">
        <v>83</v>
      </c>
      <c r="U1" s="8" t="s">
        <v>84</v>
      </c>
      <c r="V1" s="8" t="s">
        <v>85</v>
      </c>
      <c r="W1" s="8" t="s">
        <v>86</v>
      </c>
    </row>
    <row r="2" spans="1:23" x14ac:dyDescent="0.3">
      <c r="A2" s="8" t="s">
        <v>87</v>
      </c>
      <c r="B2" s="1">
        <v>4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1</v>
      </c>
      <c r="R2" s="1">
        <v>1</v>
      </c>
      <c r="S2" s="1">
        <v>1</v>
      </c>
      <c r="T2" s="1">
        <v>0</v>
      </c>
      <c r="U2" s="1">
        <v>0</v>
      </c>
      <c r="V2" s="1">
        <v>1</v>
      </c>
      <c r="W2" s="12">
        <v>4</v>
      </c>
    </row>
    <row r="3" spans="1:23" x14ac:dyDescent="0.3">
      <c r="A3" s="8" t="s">
        <v>88</v>
      </c>
      <c r="B3" s="1">
        <v>3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1</v>
      </c>
      <c r="R3" s="1">
        <v>1</v>
      </c>
      <c r="S3" s="1">
        <v>0</v>
      </c>
      <c r="T3" s="1">
        <v>0</v>
      </c>
      <c r="U3" s="1">
        <v>0</v>
      </c>
      <c r="V3" s="1">
        <v>0</v>
      </c>
      <c r="W3" s="12">
        <v>3</v>
      </c>
    </row>
    <row r="4" spans="1:23" x14ac:dyDescent="0.3">
      <c r="A4" s="8" t="s">
        <v>89</v>
      </c>
      <c r="B4" s="1">
        <v>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1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2">
        <v>3</v>
      </c>
    </row>
    <row r="5" spans="1:23" x14ac:dyDescent="0.3">
      <c r="A5" s="8" t="s">
        <v>90</v>
      </c>
      <c r="B5" s="1">
        <v>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1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2">
        <v>3</v>
      </c>
    </row>
    <row r="6" spans="1:23" x14ac:dyDescent="0.3">
      <c r="A6" s="8" t="s">
        <v>91</v>
      </c>
      <c r="B6" s="1">
        <v>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1</v>
      </c>
      <c r="P6" s="1">
        <v>0</v>
      </c>
      <c r="Q6" s="1">
        <v>1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2">
        <v>4</v>
      </c>
    </row>
    <row r="7" spans="1:23" x14ac:dyDescent="0.3">
      <c r="A7" s="8" t="s">
        <v>153</v>
      </c>
      <c r="B7" s="1">
        <v>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2">
        <v>3</v>
      </c>
    </row>
    <row r="8" spans="1:23" x14ac:dyDescent="0.3">
      <c r="A8" s="8" t="s">
        <v>154</v>
      </c>
      <c r="B8" s="1">
        <v>4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</v>
      </c>
      <c r="N8" s="1">
        <v>1</v>
      </c>
      <c r="O8" s="1">
        <v>0</v>
      </c>
      <c r="P8" s="1">
        <v>1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2">
        <v>4</v>
      </c>
    </row>
    <row r="9" spans="1:23" x14ac:dyDescent="0.3">
      <c r="A9" s="8" t="s">
        <v>155</v>
      </c>
      <c r="B9" s="1">
        <v>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1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2">
        <v>3</v>
      </c>
    </row>
    <row r="10" spans="1:23" x14ac:dyDescent="0.3">
      <c r="A10" s="8" t="s">
        <v>156</v>
      </c>
      <c r="B10" s="1">
        <v>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1</v>
      </c>
      <c r="N10" s="1">
        <v>0</v>
      </c>
      <c r="O10" s="1">
        <v>1</v>
      </c>
      <c r="P10" s="1">
        <v>1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2">
        <v>5</v>
      </c>
    </row>
    <row r="11" spans="1:23" x14ac:dyDescent="0.3">
      <c r="A11" s="8" t="s">
        <v>157</v>
      </c>
      <c r="B11" s="1">
        <v>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1</v>
      </c>
      <c r="M11" s="1">
        <v>0</v>
      </c>
      <c r="N11" s="1">
        <v>1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2">
        <v>4</v>
      </c>
    </row>
    <row r="12" spans="1:23" x14ac:dyDescent="0.3">
      <c r="A12" s="8" t="s">
        <v>158</v>
      </c>
      <c r="B12" s="1">
        <v>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1</v>
      </c>
      <c r="L12" s="1">
        <v>0</v>
      </c>
      <c r="M12" s="1">
        <v>1</v>
      </c>
      <c r="N12" s="1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2">
        <v>4</v>
      </c>
    </row>
    <row r="13" spans="1:23" x14ac:dyDescent="0.3">
      <c r="A13" s="8" t="s">
        <v>159</v>
      </c>
      <c r="B13" s="1">
        <v>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1</v>
      </c>
      <c r="M13" s="1">
        <v>0</v>
      </c>
      <c r="N13" s="1">
        <v>1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2">
        <v>4</v>
      </c>
    </row>
    <row r="14" spans="1:23" x14ac:dyDescent="0.3">
      <c r="A14" s="8" t="s">
        <v>160</v>
      </c>
      <c r="B14" s="1">
        <v>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1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2">
        <v>3</v>
      </c>
    </row>
    <row r="15" spans="1:23" x14ac:dyDescent="0.3">
      <c r="A15" s="8" t="s">
        <v>161</v>
      </c>
      <c r="B15" s="1">
        <v>4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</v>
      </c>
      <c r="K15" s="1">
        <v>1</v>
      </c>
      <c r="L15" s="1">
        <v>0</v>
      </c>
      <c r="M15" s="1">
        <v>1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2">
        <v>4</v>
      </c>
    </row>
    <row r="16" spans="1:23" x14ac:dyDescent="0.3">
      <c r="A16" s="8" t="s">
        <v>162</v>
      </c>
      <c r="B16" s="1">
        <v>3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</v>
      </c>
      <c r="J16" s="1">
        <v>1</v>
      </c>
      <c r="K16" s="1">
        <v>0</v>
      </c>
      <c r="L16" s="1">
        <v>1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2">
        <v>3</v>
      </c>
    </row>
    <row r="17" spans="1:23" x14ac:dyDescent="0.3">
      <c r="A17" s="8" t="s">
        <v>163</v>
      </c>
      <c r="B17" s="1">
        <v>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</v>
      </c>
      <c r="J17" s="1">
        <v>1</v>
      </c>
      <c r="K17" s="1">
        <v>0</v>
      </c>
      <c r="L17" s="1">
        <v>1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2">
        <v>4</v>
      </c>
    </row>
    <row r="18" spans="1:23" x14ac:dyDescent="0.3">
      <c r="A18" s="8" t="s">
        <v>164</v>
      </c>
      <c r="B18" s="1">
        <v>3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1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2">
        <v>3</v>
      </c>
    </row>
    <row r="19" spans="1:23" x14ac:dyDescent="0.3">
      <c r="A19" s="8" t="s">
        <v>165</v>
      </c>
      <c r="B19" s="1">
        <v>3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1">
        <v>1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2">
        <v>3</v>
      </c>
    </row>
    <row r="20" spans="1:23" x14ac:dyDescent="0.3">
      <c r="A20" s="8" t="s">
        <v>166</v>
      </c>
      <c r="B20" s="1">
        <v>4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1</v>
      </c>
      <c r="I20" s="1">
        <v>0</v>
      </c>
      <c r="J20" s="1">
        <v>1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2">
        <v>4</v>
      </c>
    </row>
    <row r="21" spans="1:23" x14ac:dyDescent="0.3">
      <c r="A21" s="8" t="s">
        <v>167</v>
      </c>
      <c r="B21" s="1">
        <v>4</v>
      </c>
      <c r="C21" s="1">
        <v>0</v>
      </c>
      <c r="D21" s="1">
        <v>0</v>
      </c>
      <c r="E21" s="1">
        <v>0</v>
      </c>
      <c r="F21" s="1">
        <v>1</v>
      </c>
      <c r="G21" s="1">
        <v>1</v>
      </c>
      <c r="H21" s="1">
        <v>0</v>
      </c>
      <c r="I21" s="1">
        <v>1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2">
        <v>4</v>
      </c>
    </row>
    <row r="22" spans="1:23" x14ac:dyDescent="0.3">
      <c r="A22" s="8" t="s">
        <v>168</v>
      </c>
      <c r="B22" s="1">
        <v>3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1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2">
        <v>3</v>
      </c>
    </row>
    <row r="23" spans="1:23" x14ac:dyDescent="0.3">
      <c r="A23" s="8" t="s">
        <v>169</v>
      </c>
      <c r="B23" s="1">
        <v>3</v>
      </c>
      <c r="C23" s="1">
        <v>0</v>
      </c>
      <c r="D23" s="1">
        <v>0</v>
      </c>
      <c r="E23" s="1">
        <v>1</v>
      </c>
      <c r="F23" s="1">
        <v>1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2">
        <v>3</v>
      </c>
    </row>
    <row r="24" spans="1:23" x14ac:dyDescent="0.3">
      <c r="A24" s="8" t="s">
        <v>170</v>
      </c>
      <c r="B24" s="1">
        <v>4</v>
      </c>
      <c r="C24" s="1">
        <v>0</v>
      </c>
      <c r="D24" s="1">
        <v>1</v>
      </c>
      <c r="E24" s="1">
        <v>1</v>
      </c>
      <c r="F24" s="1">
        <v>0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2">
        <v>4</v>
      </c>
    </row>
    <row r="25" spans="1:23" x14ac:dyDescent="0.3">
      <c r="A25" s="7" t="s">
        <v>63</v>
      </c>
      <c r="B25" s="9">
        <f>SUM(B1:B24)</f>
        <v>82</v>
      </c>
      <c r="C25" s="9">
        <f>B25-SUM(C1:C24)</f>
        <v>82</v>
      </c>
      <c r="D25" s="9">
        <f>C25-SUM(D1:D24)</f>
        <v>81</v>
      </c>
      <c r="E25" s="9">
        <f>D25-SUM(E1:E24)</f>
        <v>79</v>
      </c>
      <c r="F25" s="9">
        <f>E25-SUM(F1:F24)</f>
        <v>77</v>
      </c>
      <c r="G25" s="9">
        <f>F25-SUM(G1:G24)</f>
        <v>72</v>
      </c>
      <c r="H25" s="9">
        <f>G25-SUM(H1:H24)</f>
        <v>67</v>
      </c>
      <c r="I25" s="9">
        <f>H25-SUM(I1:I24)</f>
        <v>61</v>
      </c>
      <c r="J25" s="9">
        <f>I25-SUM(J1:J24)</f>
        <v>54</v>
      </c>
      <c r="K25" s="9">
        <f>J25-SUM(K1:K24)</f>
        <v>46</v>
      </c>
      <c r="L25" s="9">
        <f>K25-SUM(L1:L24)</f>
        <v>40</v>
      </c>
      <c r="M25" s="9">
        <f>L25-SUM(M1:M24)</f>
        <v>32</v>
      </c>
      <c r="N25" s="9">
        <f>M25-SUM(N1:N24)</f>
        <v>24</v>
      </c>
      <c r="O25" s="9">
        <f>N25-SUM(O1:O24)</f>
        <v>17</v>
      </c>
      <c r="P25" s="9">
        <f>O25-SUM(P1:P24)</f>
        <v>11</v>
      </c>
      <c r="Q25" s="9">
        <f>P25-SUM(Q1:Q24)</f>
        <v>5</v>
      </c>
      <c r="R25" s="9">
        <f>Q25-SUM(R1:R24)</f>
        <v>2</v>
      </c>
      <c r="S25" s="9">
        <f>R25-SUM(S1:S24)</f>
        <v>1</v>
      </c>
      <c r="T25" s="9">
        <f>S25-SUM(T1:T24)</f>
        <v>1</v>
      </c>
      <c r="U25" s="9">
        <f>T25-SUM(U1:U24)</f>
        <v>1</v>
      </c>
      <c r="V25" s="9">
        <f>U25-SUM(V1:V24)</f>
        <v>0</v>
      </c>
    </row>
    <row r="26" spans="1:23" ht="15" thickBot="1" x14ac:dyDescent="0.35">
      <c r="A26" s="6" t="s">
        <v>171</v>
      </c>
      <c r="B26" s="10">
        <f>SUM(B2:B24)</f>
        <v>82</v>
      </c>
      <c r="C26" s="11">
        <f>B26-(SUM($B$2:$B$24)/20)</f>
        <v>77.900000000000006</v>
      </c>
      <c r="D26" s="11">
        <f>C26-(SUM($B$2:$B$24)/20)</f>
        <v>73.800000000000011</v>
      </c>
      <c r="E26" s="11">
        <f>D26-(SUM($B$2:$B$24)/20)</f>
        <v>69.700000000000017</v>
      </c>
      <c r="F26" s="11">
        <f>E26-(SUM($B$2:$B$24)/20)</f>
        <v>65.600000000000023</v>
      </c>
      <c r="G26" s="11">
        <f>F26-(SUM($B$2:$B$24)/20)</f>
        <v>61.500000000000021</v>
      </c>
      <c r="H26" s="11">
        <f>G26-(SUM($B$2:$B$24)/20)</f>
        <v>57.40000000000002</v>
      </c>
      <c r="I26" s="11">
        <f>H26-(SUM($B$2:$B$24)/20)</f>
        <v>53.300000000000018</v>
      </c>
      <c r="J26" s="11">
        <f>I26-(SUM($B$2:$B$24)/20)</f>
        <v>49.200000000000017</v>
      </c>
      <c r="K26" s="11">
        <f>J26-(SUM($B$2:$B$24)/20)</f>
        <v>45.100000000000016</v>
      </c>
      <c r="L26" s="11">
        <f>K26-(SUM($B$2:$B$24)/20)</f>
        <v>41.000000000000014</v>
      </c>
      <c r="M26" s="11">
        <f>L26-(SUM($B$2:$B$24)/20)</f>
        <v>36.900000000000013</v>
      </c>
      <c r="N26" s="11">
        <f>M26-(SUM($B$2:$B$24)/20)</f>
        <v>32.800000000000011</v>
      </c>
      <c r="O26" s="11">
        <f>N26-(SUM($B$2:$B$24)/20)</f>
        <v>28.70000000000001</v>
      </c>
      <c r="P26" s="11">
        <f>O26-(SUM($B$2:$B$24)/20)</f>
        <v>24.600000000000009</v>
      </c>
      <c r="Q26" s="11">
        <f>P26-(SUM($B$2:$B$24)/20)</f>
        <v>20.500000000000007</v>
      </c>
      <c r="R26" s="11">
        <f>Q26-(SUM($B$2:$B$24)/20)</f>
        <v>16.400000000000006</v>
      </c>
      <c r="S26" s="11">
        <f>R26-(SUM($B$2:$B$24)/20)</f>
        <v>12.300000000000006</v>
      </c>
      <c r="T26" s="11">
        <f>S26-(SUM($B$2:$B$24)/20)</f>
        <v>8.2000000000000064</v>
      </c>
      <c r="U26" s="11">
        <f>T26-(SUM($B$2:$B$24)/20)</f>
        <v>4.1000000000000068</v>
      </c>
      <c r="V26" s="11">
        <f>U26-(SUM($B$2:$B$24)/20)</f>
        <v>7.1054273576010019E-15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Burdonchart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PC-PR</dc:creator>
  <cp:lastModifiedBy>PC-PR</cp:lastModifiedBy>
  <dcterms:created xsi:type="dcterms:W3CDTF">2026-02-05T15:32:51Z</dcterms:created>
  <dcterms:modified xsi:type="dcterms:W3CDTF">2026-02-05T16:18:45Z</dcterms:modified>
</cp:coreProperties>
</file>