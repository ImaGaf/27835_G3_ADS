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lejo\Documentos\6to Semestre\analisis\27835_G3_ADS\Biblioteca de Trabajo\1. ELICITACION\1.6 Backlog\"/>
    </mc:Choice>
  </mc:AlternateContent>
  <xr:revisionPtr revIDLastSave="0" documentId="8_{06363569-10C6-43CC-867D-42C654B3ED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cklog" sheetId="1" r:id="rId1"/>
    <sheet name="burdonchart" sheetId="3" r:id="rId2"/>
    <sheet name="Sprints" sheetId="2" r:id="rId3"/>
    <sheet name="Copia de burdoncha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FyjzK5CEIXFiGN6rNX9izzRkthyFmckWXKE0185Ie6c="/>
    </ext>
  </extLst>
</workbook>
</file>

<file path=xl/calcChain.xml><?xml version="1.0" encoding="utf-8"?>
<calcChain xmlns="http://schemas.openxmlformats.org/spreadsheetml/2006/main">
  <c r="X4" i="4" l="1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D28" i="4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C29" i="4"/>
  <c r="C28" i="4"/>
  <c r="Q23" i="3"/>
  <c r="C11" i="3"/>
  <c r="D11" i="3" s="1"/>
  <c r="E11" i="3" s="1"/>
  <c r="F11" i="3" s="1"/>
  <c r="G11" i="3" s="1"/>
  <c r="H11" i="3" s="1"/>
  <c r="C10" i="3"/>
  <c r="D10" i="3" s="1"/>
  <c r="E10" i="3" s="1"/>
  <c r="F10" i="3" s="1"/>
  <c r="G10" i="3" s="1"/>
  <c r="H10" i="3" s="1"/>
</calcChain>
</file>

<file path=xl/sharedStrings.xml><?xml version="1.0" encoding="utf-8"?>
<sst xmlns="http://schemas.openxmlformats.org/spreadsheetml/2006/main" count="461" uniqueCount="176">
  <si>
    <t>ID</t>
  </si>
  <si>
    <t>Tema</t>
  </si>
  <si>
    <t>Como un..</t>
  </si>
  <si>
    <t>Necesito</t>
  </si>
  <si>
    <t>Así podré...</t>
  </si>
  <si>
    <t>Notas</t>
  </si>
  <si>
    <t>Prioridad</t>
  </si>
  <si>
    <t>Estado</t>
  </si>
  <si>
    <t>RF1.1</t>
  </si>
  <si>
    <t>Registro de Cuenta de Cliente</t>
  </si>
  <si>
    <t>Cliente</t>
  </si>
  <si>
    <t>Crear mi cuenta en el sistema con nombre, correo y contraseña</t>
  </si>
  <si>
    <t>Acceder al sistema y gestionar mis comprobantes de pago</t>
  </si>
  <si>
    <t>Alta</t>
  </si>
  <si>
    <t>En proceso</t>
  </si>
  <si>
    <t>RF1.2</t>
  </si>
  <si>
    <t>Gestión de Cuentas de Asistente</t>
  </si>
  <si>
    <t>Gerente</t>
  </si>
  <si>
    <t>Registrar nuevos asistentes administrativos desde mi panel</t>
  </si>
  <si>
    <t>Gestionar el personal que ayudará en operaciones administrativas</t>
  </si>
  <si>
    <t>RF1.3</t>
  </si>
  <si>
    <t>Inicio de Sesión Multirole</t>
  </si>
  <si>
    <t>Cliente, Asistente, Gerente</t>
  </si>
  <si>
    <t>Acceder al sistema según mi rol con mis credenciales</t>
  </si>
  <si>
    <t>Tener acceso seguro y diferenciado según mi tipo de usuario</t>
  </si>
  <si>
    <t>RF1.4</t>
  </si>
  <si>
    <t>Recuperación de Contraseña</t>
  </si>
  <si>
    <t>Recuperar mi acceso mediante verificación por correo</t>
  </si>
  <si>
    <t>Restablecer mi contraseña de forma segura cuando la olvide</t>
  </si>
  <si>
    <t>RF1.5</t>
  </si>
  <si>
    <t>Cierre Seguro de Sesión</t>
  </si>
  <si>
    <t>Cerrar mi sesión de forma segura</t>
  </si>
  <si>
    <t>Prevenir accesos no autorizados después de mi uso</t>
  </si>
  <si>
    <t>Media</t>
  </si>
  <si>
    <t>RF1.6</t>
  </si>
  <si>
    <t>Dashboard Personalizado</t>
  </si>
  <si>
    <t>Visualizar un dashboard personalizado según mi rol</t>
  </si>
  <si>
    <t>Acceder rápidamente a funcionalidades principales y datos relevantes</t>
  </si>
  <si>
    <t>RF2</t>
  </si>
  <si>
    <t>Carga y Registro de Comprobantes</t>
  </si>
  <si>
    <t>Ingresar datos del comprobante y adjuntar archivo</t>
  </si>
  <si>
    <t>Mantener registro digital de pagos realizados</t>
  </si>
  <si>
    <t>RF3</t>
  </si>
  <si>
    <t>Abono a Crédito Activo</t>
  </si>
  <si>
    <t>Cliente, Gerente</t>
  </si>
  <si>
    <t>Registrar pago y recalcular estado del crédito</t>
  </si>
  <si>
    <t>Mantener actualizado mi estado financiero</t>
  </si>
  <si>
    <t>RF4</t>
  </si>
  <si>
    <t>Importación Masiva de Facturación</t>
  </si>
  <si>
    <t>Gerente, Asistente</t>
  </si>
  <si>
    <t>Cargar archivos CSV/XLSX con datos de facturación</t>
  </si>
  <si>
    <t>Sincronizar información de sistemas externos</t>
  </si>
  <si>
    <t>RF5.1</t>
  </si>
  <si>
    <t>Otorgamiento de Crédito a Cliente</t>
  </si>
  <si>
    <t>Asignar crédito y cambiar estado del cliente</t>
  </si>
  <si>
    <t>Habilitar compras a crédito según política de la empresa</t>
  </si>
  <si>
    <t>RF5.2</t>
  </si>
  <si>
    <t>Pago de Cuotas en Línea</t>
  </si>
  <si>
    <t>Procesar pago de cuota mediante pasarela de pago</t>
  </si>
  <si>
    <t>Facilitar el cumplimiento de mis obligaciones desde cualquier lugar</t>
  </si>
  <si>
    <t>RF5.3</t>
  </si>
  <si>
    <t>Visualización de Condiciones del Crédito</t>
  </si>
  <si>
    <t>Visualizar términos, interés, cuotas y cronograma</t>
  </si>
  <si>
    <t>Mantenerme informado sobre mi obligación financiera</t>
  </si>
  <si>
    <t>RF5.4</t>
  </si>
  <si>
    <t>Seguimiento de Saldo y Cuotas</t>
  </si>
  <si>
    <t>Ver cuotas pagadas, pendientes y monto restante</t>
  </si>
  <si>
    <t>Hacer seguimiento de mi cumplimiento financiero</t>
  </si>
  <si>
    <t>RF5.5</t>
  </si>
  <si>
    <t>Descarga de Certificados de Pago</t>
  </si>
  <si>
    <t>Generar documento PDF con información de mis pagos</t>
  </si>
  <si>
    <t>Contar con respaldo formal de transacciones realizadas</t>
  </si>
  <si>
    <t>RF6.1</t>
  </si>
  <si>
    <t>Reporte Individual de Pagos</t>
  </si>
  <si>
    <t>Filtrar y visualizar pagos de un cliente particular</t>
  </si>
  <si>
    <t>Analizar comportamiento de pago individual</t>
  </si>
  <si>
    <t>RF6.2</t>
  </si>
  <si>
    <t>Reporte de Pagos por Fechas</t>
  </si>
  <si>
    <t>Consultar todos los pagos en un período específico</t>
  </si>
  <si>
    <t>Analizar flujo de caja y tendencias temporales</t>
  </si>
  <si>
    <t>RF6.3</t>
  </si>
  <si>
    <t>Reporte de Riesgo de Morosidad</t>
  </si>
  <si>
    <t>Asistente</t>
  </si>
  <si>
    <t>Listar clientes con pagos vencidos o en mora</t>
  </si>
  <si>
    <t>Realizar seguimiento y gestión de cobro</t>
  </si>
  <si>
    <t>RF6.4</t>
  </si>
  <si>
    <t>Búsqueda Rápida de Clientes</t>
  </si>
  <si>
    <t>Buscar y visualizar datos personales y de contacto del cliente</t>
  </si>
  <si>
    <t>Brindar atención y soporte al cliente</t>
  </si>
  <si>
    <t>RF6.5</t>
  </si>
  <si>
    <t>Consulta de Historial de Pagos</t>
  </si>
  <si>
    <t>Visualizar todos los pagos registrados de un cliente</t>
  </si>
  <si>
    <t>Brindar soporte y resolver consultas</t>
  </si>
  <si>
    <t>RF7</t>
  </si>
  <si>
    <t>Vista Global de Estado de Cuenta</t>
  </si>
  <si>
    <t>Visualizar créditos, pagos, cuotas e intereses</t>
  </si>
  <si>
    <t>Tener visión integral de mi situación financiera</t>
  </si>
  <si>
    <t>RF8.1</t>
  </si>
  <si>
    <t>Alerta de Vencimiento Crítico</t>
  </si>
  <si>
    <t>Cliente (receptor), Asistente (gestor)</t>
  </si>
  <si>
    <t>Recibir alerta cuando se aproxima fecha de vencimiento crítica</t>
  </si>
  <si>
    <t>Prevenir incumplimientos y mantenerme informado</t>
  </si>
  <si>
    <t>RF8.2</t>
  </si>
  <si>
    <t>Aviso Preventivo de Vencimiento</t>
  </si>
  <si>
    <t>Recibir alerta con anticipación sobre fechas de pago cercanas</t>
  </si>
  <si>
    <t>Recordar mis obligaciones y facilitar cumplimiento</t>
  </si>
  <si>
    <t>RF8.3</t>
  </si>
  <si>
    <t>Notificación de Deuda Vencida</t>
  </si>
  <si>
    <t>Recibir alerta sobre obligaciones no cumplidas en fecha</t>
  </si>
  <si>
    <t>Conocer estado de mi deuda y regularizar</t>
  </si>
  <si>
    <t>SPRINT 1</t>
  </si>
  <si>
    <t>Encargado</t>
  </si>
  <si>
    <t>Tiempo (Estimado en Hrs)</t>
  </si>
  <si>
    <t>Fernando Sandoval</t>
  </si>
  <si>
    <t>Zaith Manangón</t>
  </si>
  <si>
    <t>Simone Medina</t>
  </si>
  <si>
    <t>Oswaldo Tipan</t>
  </si>
  <si>
    <t>SPRINT 2</t>
  </si>
  <si>
    <t>Importación Masiva</t>
  </si>
  <si>
    <t>Sincronizar información de deudas externas rápidamente</t>
  </si>
  <si>
    <t>Ingresar datos de depósito y adjuntar archivo</t>
  </si>
  <si>
    <t>Mantener un registro digital de pagos realizados</t>
  </si>
  <si>
    <t>Visualizar créditos, pagos y cuotas</t>
  </si>
  <si>
    <t>Tener una visión integral de mi situación financiera</t>
  </si>
  <si>
    <t>Búsqueda Rápida</t>
  </si>
  <si>
    <t>Buscar datos de contacto por nombre o RUC</t>
  </si>
  <si>
    <t>Brindar atención rápida y gestionar pagos</t>
  </si>
  <si>
    <t>SPRINT 3</t>
  </si>
  <si>
    <t>Validar el pago y aplicarlo</t>
  </si>
  <si>
    <t>Actualizar el saldo real del cliente y emitir la conformidad del pago para que la deuda disminuya legalmente.</t>
  </si>
  <si>
    <t>Reporte de Pagos</t>
  </si>
  <si>
    <t>Ver pagos por fechas</t>
  </si>
  <si>
    <t>Analizar el flujo de caja mensual y tomar decisiones financieras basadas en la liquidez real obtenida por cobranzas</t>
  </si>
  <si>
    <t>Historial de Pagos</t>
  </si>
  <si>
    <t>Ver todos los pagos de un cliente</t>
  </si>
  <si>
    <t>Brindar soporte detallado ante reclamos, verificando fechas y montos de depósitos previos para resolver dudas de cobro.</t>
  </si>
  <si>
    <t>Lista de Morosos</t>
  </si>
  <si>
    <t>Listar clientes vencidos</t>
  </si>
  <si>
    <t>Identificar rápidamente a las personas con retrasos para iniciar gestiones de cobranza preventiva y evitar pérdidas.</t>
  </si>
  <si>
    <t>SPRINT 4</t>
  </si>
  <si>
    <t>Recibir alerta cuando se aproxima la fecha crítica</t>
  </si>
  <si>
    <t>Prevenir incumplimientos accidentales de último minuto y mantenerme informado sobre el cierre inminente de mi periodo de pago sin recargos.</t>
  </si>
  <si>
    <t>Recibir alerta con anticipación sobre fechas de pago</t>
  </si>
  <si>
    <t>Recordar obligaciones financieras y facilitar el cumplimiento oportuno del cronograma.</t>
  </si>
  <si>
    <t>Recibir alerta sobre obligaciones no cumplidas</t>
  </si>
  <si>
    <t>Conocer el estado de la deuda de forma inmediata para proceder antes de que se generen más intereses o reportes negativos.</t>
  </si>
  <si>
    <t>RF7.2</t>
  </si>
  <si>
    <t>Habilitar compras a crédito según la política de la empresa, permitiendo que clientes de forma segura en la plataforma.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</si>
  <si>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</si>
  <si>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</si>
  <si>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</si>
  <si>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</si>
  <si>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</si>
  <si>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</si>
  <si>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</si>
  <si>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</si>
  <si>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</si>
  <si>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Sprint 1, se completaron satisfactoriamente las 19 horas estimadas distribuidas a lo largo de 5 días de trabajo para implementar el módulo fundamental de Gestión de Autenticación y Acceso al Sistema.
El equipo logró entregar los 6 requisitos funcionales planificados (RF1.1 - RF1.6), cumpliendo con los objetivos establecidos</t>
  </si>
  <si>
    <t>REQUERIMIENTO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</si>
  <si>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</si>
  <si>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</si>
  <si>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</si>
  <si>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</si>
  <si>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</si>
  <si>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</si>
  <si>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</si>
  <si>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</si>
  <si>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</si>
  <si>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</si>
  <si>
    <t>Finalizado</t>
  </si>
  <si>
    <t>Dia 16</t>
  </si>
  <si>
    <t>Dia 17</t>
  </si>
  <si>
    <t>Dia 18</t>
  </si>
  <si>
    <t>Dia 19</t>
  </si>
  <si>
    <t>Dia 20</t>
  </si>
  <si>
    <t>Horas Estimadas 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</si>
</sst>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b/>
      <sz val="1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4472C4"/>
      <name val="Arial"/>
    </font>
    <font>
      <sz val="8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AD1DC"/>
        <bgColor rgb="FFEAD1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wrapTex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/>
    <xf numFmtId="0" fontId="8" fillId="3" borderId="4" xfId="0" applyFont="1" applyFill="1" applyBorder="1"/>
    <xf numFmtId="0" fontId="8" fillId="0" borderId="5" xfId="0" applyFont="1" applyBorder="1"/>
    <xf numFmtId="0" fontId="8" fillId="3" borderId="1" xfId="0" applyFont="1" applyFill="1" applyBorder="1"/>
    <xf numFmtId="0" fontId="9" fillId="0" borderId="0" xfId="0" applyFont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5" borderId="1" xfId="0" applyFont="1" applyFill="1" applyBorder="1" applyAlignment="1">
      <alignment vertical="top" wrapText="1"/>
    </xf>
    <xf numFmtId="0" fontId="11" fillId="6" borderId="10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4" borderId="12" xfId="0" applyFont="1" applyFill="1" applyBorder="1" applyAlignment="1"/>
    <xf numFmtId="0" fontId="11" fillId="6" borderId="10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right"/>
    </xf>
    <xf numFmtId="0" fontId="12" fillId="4" borderId="13" xfId="0" applyFont="1" applyFill="1" applyBorder="1" applyAlignment="1"/>
    <xf numFmtId="0" fontId="11" fillId="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right"/>
    </xf>
    <xf numFmtId="0" fontId="12" fillId="8" borderId="1" xfId="0" applyFont="1" applyFill="1" applyBorder="1" applyAlignment="1"/>
    <xf numFmtId="0" fontId="11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2" fillId="10" borderId="1" xfId="0" applyFont="1" applyFill="1" applyBorder="1" applyAlignment="1"/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2" fillId="10" borderId="15" xfId="0" applyFont="1" applyFill="1" applyBorder="1" applyAlignment="1"/>
    <xf numFmtId="0" fontId="11" fillId="6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3" xfId="0" applyFont="1" applyFill="1" applyBorder="1" applyAlignment="1"/>
    <xf numFmtId="0" fontId="11" fillId="10" borderId="10" xfId="0" applyFont="1" applyFill="1" applyBorder="1" applyAlignment="1">
      <alignment horizontal="center"/>
    </xf>
    <xf numFmtId="0" fontId="11" fillId="3" borderId="13" xfId="0" applyFont="1" applyFill="1" applyBorder="1" applyAlignment="1"/>
    <xf numFmtId="0" fontId="11" fillId="0" borderId="1" xfId="0" applyFont="1" applyBorder="1" applyAlignment="1">
      <alignment horizontal="right"/>
    </xf>
    <xf numFmtId="0" fontId="11" fillId="0" borderId="16" xfId="0" applyFont="1" applyBorder="1" applyAlignment="1"/>
    <xf numFmtId="0" fontId="11" fillId="0" borderId="14" xfId="0" applyFont="1" applyBorder="1" applyAlignment="1">
      <alignment horizontal="right"/>
    </xf>
    <xf numFmtId="0" fontId="11" fillId="0" borderId="18" xfId="0" applyFont="1" applyBorder="1" applyAlignment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  <xf numFmtId="0" fontId="8" fillId="3" borderId="17" xfId="0" applyFont="1" applyFill="1" applyBorder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burdonchart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opia de burdonchar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pia de burdonchart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4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2-49C5-A0B6-01F24B96E51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15.2</c:v>
                </c:pt>
                <c:pt idx="3">
                  <c:v>11.399999999999999</c:v>
                </c:pt>
                <c:pt idx="4">
                  <c:v>7.5999999999999988</c:v>
                </c:pt>
                <c:pt idx="5">
                  <c:v>3.7999999999999989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2-49C5-A0B6-01F24B96E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586860"/>
        <c:axId val="1675414797"/>
      </c:lineChart>
      <c:catAx>
        <c:axId val="163158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5414797"/>
        <c:crosses val="autoZero"/>
        <c:auto val="1"/>
        <c:lblAlgn val="ctr"/>
        <c:lblOffset val="100"/>
        <c:noMultiLvlLbl val="1"/>
      </c:catAx>
      <c:valAx>
        <c:axId val="167541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5868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8725040999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Tiempo Real 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'Copia de burdonchart'!$D$28:$R$28</c:f>
              <c:numCache>
                <c:formatCode>General</c:formatCode>
                <c:ptCount val="15"/>
                <c:pt idx="0">
                  <c:v>57</c:v>
                </c:pt>
                <c:pt idx="1">
                  <c:v>54</c:v>
                </c:pt>
                <c:pt idx="2">
                  <c:v>49</c:v>
                </c:pt>
                <c:pt idx="3">
                  <c:v>45</c:v>
                </c:pt>
                <c:pt idx="4">
                  <c:v>42</c:v>
                </c:pt>
                <c:pt idx="5">
                  <c:v>40</c:v>
                </c:pt>
                <c:pt idx="6">
                  <c:v>30</c:v>
                </c:pt>
                <c:pt idx="7">
                  <c:v>26</c:v>
                </c:pt>
                <c:pt idx="8">
                  <c:v>19</c:v>
                </c:pt>
                <c:pt idx="9">
                  <c:v>16</c:v>
                </c:pt>
                <c:pt idx="10">
                  <c:v>15</c:v>
                </c:pt>
                <c:pt idx="11">
                  <c:v>11</c:v>
                </c:pt>
                <c:pt idx="12">
                  <c:v>9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1-4007-A529-E9F63AEECABF}"/>
            </c:ext>
          </c:extLst>
        </c:ser>
        <c:ser>
          <c:idx val="1"/>
          <c:order val="1"/>
          <c:tx>
            <c:v>Tiempo Estimado 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'Copia de burdonchart'!$D$29:$R$29</c:f>
              <c:numCache>
                <c:formatCode>General</c:formatCode>
                <c:ptCount val="15"/>
                <c:pt idx="0">
                  <c:v>58.966666666666669</c:v>
                </c:pt>
                <c:pt idx="1">
                  <c:v>56.933333333333337</c:v>
                </c:pt>
                <c:pt idx="2">
                  <c:v>54.900000000000006</c:v>
                </c:pt>
                <c:pt idx="3">
                  <c:v>52.866666666666674</c:v>
                </c:pt>
                <c:pt idx="4">
                  <c:v>50.833333333333343</c:v>
                </c:pt>
                <c:pt idx="5">
                  <c:v>48.800000000000011</c:v>
                </c:pt>
                <c:pt idx="6">
                  <c:v>46.76666666666668</c:v>
                </c:pt>
                <c:pt idx="7">
                  <c:v>44.733333333333348</c:v>
                </c:pt>
                <c:pt idx="8">
                  <c:v>42.700000000000017</c:v>
                </c:pt>
                <c:pt idx="9">
                  <c:v>40.666666666666686</c:v>
                </c:pt>
                <c:pt idx="10">
                  <c:v>38.633333333333354</c:v>
                </c:pt>
                <c:pt idx="11">
                  <c:v>36.600000000000023</c:v>
                </c:pt>
                <c:pt idx="12">
                  <c:v>34.566666666666691</c:v>
                </c:pt>
                <c:pt idx="13">
                  <c:v>32.53333333333336</c:v>
                </c:pt>
                <c:pt idx="14">
                  <c:v>30.500000000000028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1-4007-A529-E9F63AEE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858946"/>
        <c:axId val="663934457"/>
      </c:lineChart>
      <c:catAx>
        <c:axId val="1474858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3934457"/>
        <c:crosses val="autoZero"/>
        <c:auto val="1"/>
        <c:lblAlgn val="ctr"/>
        <c:lblOffset val="100"/>
        <c:noMultiLvlLbl val="1"/>
      </c:catAx>
      <c:valAx>
        <c:axId val="663934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4858946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b="1" i="0"/>
            </a:pPr>
            <a:endParaRPr lang="en-US"/>
          </a:p>
        </c:txPr>
      </c:legendEntry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2</xdr:row>
      <xdr:rowOff>95250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32</xdr:row>
      <xdr:rowOff>123825</xdr:rowOff>
    </xdr:from>
    <xdr:ext cx="10591800" cy="3552825"/>
    <xdr:graphicFrame macro="">
      <xdr:nvGraphicFramePr>
        <xdr:cNvPr id="851083759" name="Chart 2" title="Gráfico">
          <a:extLst>
            <a:ext uri="{FF2B5EF4-FFF2-40B4-BE49-F238E27FC236}">
              <a16:creationId xmlns:a16="http://schemas.microsoft.com/office/drawing/2014/main" id="{00000000-0008-0000-0300-0000EF81B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7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4:J7" headerRowCount="0">
  <tableColumns count="1">
    <tableColumn id="1" xr3:uid="{00000000-0010-0000-0100-000001000000}" name="Column1"/>
  </tableColumns>
  <tableStyleInfo name="Copia de 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X4:X27" headerRowCount="0">
  <tableColumns count="1">
    <tableColumn id="1" xr3:uid="{00000000-0010-0000-0200-000001000000}" name="Column1"/>
  </tableColumns>
  <tableStyleInfo name="Copia de burdonchart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zoomScale="70" workbookViewId="0">
      <selection activeCell="A15" sqref="A15:E15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6" width="32.33203125" customWidth="1"/>
    <col min="7" max="26" width="12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4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169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4" x14ac:dyDescent="0.25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/>
      <c r="G3" s="4" t="s">
        <v>13</v>
      </c>
      <c r="H3" s="21" t="s">
        <v>169</v>
      </c>
    </row>
    <row r="4" spans="1:26" ht="26.4" x14ac:dyDescent="0.25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4" t="s">
        <v>13</v>
      </c>
      <c r="H4" s="21" t="s">
        <v>169</v>
      </c>
    </row>
    <row r="5" spans="1:26" ht="26.4" x14ac:dyDescent="0.25">
      <c r="A5" s="3" t="s">
        <v>25</v>
      </c>
      <c r="B5" s="4" t="s">
        <v>26</v>
      </c>
      <c r="C5" s="4" t="s">
        <v>22</v>
      </c>
      <c r="D5" s="4" t="s">
        <v>27</v>
      </c>
      <c r="E5" s="4" t="s">
        <v>28</v>
      </c>
      <c r="F5" s="4"/>
      <c r="G5" s="4" t="s">
        <v>13</v>
      </c>
      <c r="H5" s="21" t="s">
        <v>169</v>
      </c>
    </row>
    <row r="6" spans="1:26" ht="13.2" x14ac:dyDescent="0.25">
      <c r="A6" s="3" t="s">
        <v>29</v>
      </c>
      <c r="B6" s="4" t="s">
        <v>30</v>
      </c>
      <c r="C6" s="4" t="s">
        <v>22</v>
      </c>
      <c r="D6" s="4" t="s">
        <v>31</v>
      </c>
      <c r="E6" s="4" t="s">
        <v>32</v>
      </c>
      <c r="F6" s="4"/>
      <c r="G6" s="4" t="s">
        <v>33</v>
      </c>
      <c r="H6" s="21" t="s">
        <v>169</v>
      </c>
    </row>
    <row r="7" spans="1:26" ht="26.4" x14ac:dyDescent="0.25">
      <c r="A7" s="3" t="s">
        <v>34</v>
      </c>
      <c r="B7" s="4" t="s">
        <v>35</v>
      </c>
      <c r="C7" s="4" t="s">
        <v>22</v>
      </c>
      <c r="D7" s="4" t="s">
        <v>36</v>
      </c>
      <c r="E7" s="4" t="s">
        <v>37</v>
      </c>
      <c r="F7" s="4"/>
      <c r="G7" s="4" t="s">
        <v>13</v>
      </c>
      <c r="H7" s="21" t="s">
        <v>169</v>
      </c>
    </row>
    <row r="8" spans="1:26" ht="15.75" customHeight="1" x14ac:dyDescent="0.25">
      <c r="A8" s="3" t="s">
        <v>38</v>
      </c>
      <c r="B8" s="4" t="s">
        <v>39</v>
      </c>
      <c r="C8" s="4" t="s">
        <v>22</v>
      </c>
      <c r="D8" s="4" t="s">
        <v>40</v>
      </c>
      <c r="E8" s="4" t="s">
        <v>41</v>
      </c>
      <c r="F8" s="4"/>
      <c r="G8" s="4" t="s">
        <v>13</v>
      </c>
      <c r="H8" s="21" t="s">
        <v>169</v>
      </c>
    </row>
    <row r="9" spans="1:26" ht="15.75" customHeight="1" x14ac:dyDescent="0.25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/>
      <c r="G9" s="4" t="s">
        <v>13</v>
      </c>
      <c r="H9" s="21" t="s">
        <v>169</v>
      </c>
    </row>
    <row r="10" spans="1:26" ht="15.75" customHeight="1" x14ac:dyDescent="0.25">
      <c r="A10" s="3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/>
      <c r="G10" s="4" t="s">
        <v>33</v>
      </c>
      <c r="H10" s="4" t="s">
        <v>14</v>
      </c>
    </row>
    <row r="11" spans="1:26" ht="15.75" customHeight="1" x14ac:dyDescent="0.25">
      <c r="A11" s="3" t="s">
        <v>52</v>
      </c>
      <c r="B11" s="4" t="s">
        <v>53</v>
      </c>
      <c r="C11" s="4" t="s">
        <v>17</v>
      </c>
      <c r="D11" s="4" t="s">
        <v>54</v>
      </c>
      <c r="E11" s="4" t="s">
        <v>55</v>
      </c>
      <c r="F11" s="4"/>
      <c r="G11" s="4" t="s">
        <v>13</v>
      </c>
      <c r="H11" s="4" t="s">
        <v>169</v>
      </c>
    </row>
    <row r="12" spans="1:26" ht="15.75" customHeight="1" x14ac:dyDescent="0.25">
      <c r="A12" s="3" t="s">
        <v>56</v>
      </c>
      <c r="B12" s="4" t="s">
        <v>57</v>
      </c>
      <c r="C12" s="4" t="s">
        <v>10</v>
      </c>
      <c r="D12" s="4" t="s">
        <v>58</v>
      </c>
      <c r="E12" s="4" t="s">
        <v>59</v>
      </c>
      <c r="F12" s="4"/>
      <c r="G12" s="4" t="s">
        <v>13</v>
      </c>
      <c r="H12" s="21" t="s">
        <v>169</v>
      </c>
    </row>
    <row r="13" spans="1:26" ht="33.75" customHeight="1" x14ac:dyDescent="0.25">
      <c r="A13" s="3" t="s">
        <v>60</v>
      </c>
      <c r="B13" s="4" t="s">
        <v>61</v>
      </c>
      <c r="C13" s="4" t="s">
        <v>10</v>
      </c>
      <c r="D13" s="4" t="s">
        <v>62</v>
      </c>
      <c r="E13" s="4" t="s">
        <v>63</v>
      </c>
      <c r="F13" s="4"/>
      <c r="G13" s="4" t="s">
        <v>33</v>
      </c>
      <c r="H13" s="21" t="s">
        <v>169</v>
      </c>
    </row>
    <row r="14" spans="1:26" ht="15.75" customHeight="1" x14ac:dyDescent="0.25">
      <c r="A14" s="3" t="s">
        <v>64</v>
      </c>
      <c r="B14" s="4" t="s">
        <v>65</v>
      </c>
      <c r="C14" s="4" t="s">
        <v>10</v>
      </c>
      <c r="D14" s="4" t="s">
        <v>66</v>
      </c>
      <c r="E14" s="4" t="s">
        <v>67</v>
      </c>
      <c r="F14" s="4"/>
      <c r="G14" s="4" t="s">
        <v>13</v>
      </c>
      <c r="H14" s="21" t="s">
        <v>169</v>
      </c>
    </row>
    <row r="15" spans="1:26" ht="26.4" x14ac:dyDescent="0.25">
      <c r="A15" s="3" t="s">
        <v>68</v>
      </c>
      <c r="B15" s="4" t="s">
        <v>69</v>
      </c>
      <c r="C15" s="4" t="s">
        <v>10</v>
      </c>
      <c r="D15" s="4" t="s">
        <v>70</v>
      </c>
      <c r="E15" s="4" t="s">
        <v>71</v>
      </c>
      <c r="F15" s="4"/>
      <c r="G15" s="4" t="s">
        <v>33</v>
      </c>
      <c r="H15" s="21" t="s">
        <v>169</v>
      </c>
    </row>
    <row r="16" spans="1:26" ht="15.75" customHeight="1" x14ac:dyDescent="0.25">
      <c r="A16" s="3" t="s">
        <v>72</v>
      </c>
      <c r="B16" s="4" t="s">
        <v>73</v>
      </c>
      <c r="C16" s="4" t="s">
        <v>17</v>
      </c>
      <c r="D16" s="4" t="s">
        <v>74</v>
      </c>
      <c r="E16" s="4" t="s">
        <v>75</v>
      </c>
      <c r="F16" s="4"/>
      <c r="G16" s="4" t="s">
        <v>13</v>
      </c>
      <c r="H16" s="21" t="s">
        <v>169</v>
      </c>
    </row>
    <row r="17" spans="1:8" ht="15.75" customHeight="1" x14ac:dyDescent="0.25">
      <c r="A17" s="3" t="s">
        <v>76</v>
      </c>
      <c r="B17" s="4" t="s">
        <v>77</v>
      </c>
      <c r="C17" s="4" t="s">
        <v>17</v>
      </c>
      <c r="D17" s="4" t="s">
        <v>78</v>
      </c>
      <c r="E17" s="4" t="s">
        <v>79</v>
      </c>
      <c r="F17" s="4"/>
      <c r="G17" s="4" t="s">
        <v>13</v>
      </c>
      <c r="H17" s="21" t="s">
        <v>169</v>
      </c>
    </row>
    <row r="18" spans="1:8" ht="32.25" customHeight="1" x14ac:dyDescent="0.25">
      <c r="A18" s="3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4"/>
      <c r="G18" s="4" t="s">
        <v>13</v>
      </c>
      <c r="H18" s="21" t="s">
        <v>169</v>
      </c>
    </row>
    <row r="19" spans="1:8" ht="15.75" customHeight="1" x14ac:dyDescent="0.25">
      <c r="A19" s="3" t="s">
        <v>85</v>
      </c>
      <c r="B19" s="4" t="s">
        <v>86</v>
      </c>
      <c r="C19" s="4" t="s">
        <v>82</v>
      </c>
      <c r="D19" s="4" t="s">
        <v>87</v>
      </c>
      <c r="E19" s="4" t="s">
        <v>88</v>
      </c>
      <c r="F19" s="4"/>
      <c r="G19" s="4" t="s">
        <v>33</v>
      </c>
      <c r="H19" s="21" t="s">
        <v>169</v>
      </c>
    </row>
    <row r="20" spans="1:8" ht="15.75" customHeight="1" x14ac:dyDescent="0.25">
      <c r="A20" s="3" t="s">
        <v>89</v>
      </c>
      <c r="B20" s="4" t="s">
        <v>90</v>
      </c>
      <c r="C20" s="4" t="s">
        <v>82</v>
      </c>
      <c r="D20" s="4" t="s">
        <v>91</v>
      </c>
      <c r="E20" s="4" t="s">
        <v>92</v>
      </c>
      <c r="F20" s="4"/>
      <c r="G20" s="4" t="s">
        <v>33</v>
      </c>
      <c r="H20" s="21" t="s">
        <v>169</v>
      </c>
    </row>
    <row r="21" spans="1:8" ht="15.75" customHeight="1" x14ac:dyDescent="0.25">
      <c r="A21" s="3" t="s">
        <v>93</v>
      </c>
      <c r="B21" s="4" t="s">
        <v>94</v>
      </c>
      <c r="C21" s="4" t="s">
        <v>22</v>
      </c>
      <c r="D21" s="4" t="s">
        <v>95</v>
      </c>
      <c r="E21" s="4" t="s">
        <v>96</v>
      </c>
      <c r="F21" s="4"/>
      <c r="G21" s="4" t="s">
        <v>13</v>
      </c>
      <c r="H21" s="21" t="s">
        <v>169</v>
      </c>
    </row>
    <row r="22" spans="1:8" ht="15.75" customHeight="1" x14ac:dyDescent="0.25">
      <c r="A22" s="3" t="s">
        <v>97</v>
      </c>
      <c r="B22" s="4" t="s">
        <v>98</v>
      </c>
      <c r="C22" s="4" t="s">
        <v>99</v>
      </c>
      <c r="D22" s="4" t="s">
        <v>100</v>
      </c>
      <c r="E22" s="4" t="s">
        <v>101</v>
      </c>
      <c r="F22" s="4"/>
      <c r="G22" s="4" t="s">
        <v>33</v>
      </c>
      <c r="H22" s="21" t="s">
        <v>169</v>
      </c>
    </row>
    <row r="23" spans="1:8" ht="15.75" customHeight="1" x14ac:dyDescent="0.25">
      <c r="A23" s="3" t="s">
        <v>102</v>
      </c>
      <c r="B23" s="4" t="s">
        <v>103</v>
      </c>
      <c r="C23" s="4" t="s">
        <v>44</v>
      </c>
      <c r="D23" s="4" t="s">
        <v>104</v>
      </c>
      <c r="E23" s="4" t="s">
        <v>105</v>
      </c>
      <c r="F23" s="4"/>
      <c r="G23" s="4" t="s">
        <v>33</v>
      </c>
      <c r="H23" s="21" t="s">
        <v>169</v>
      </c>
    </row>
    <row r="24" spans="1:8" ht="15.75" customHeight="1" x14ac:dyDescent="0.25">
      <c r="A24" s="3" t="s">
        <v>106</v>
      </c>
      <c r="B24" s="4" t="s">
        <v>107</v>
      </c>
      <c r="C24" s="4" t="s">
        <v>10</v>
      </c>
      <c r="D24" s="4" t="s">
        <v>108</v>
      </c>
      <c r="E24" s="4" t="s">
        <v>109</v>
      </c>
      <c r="F24" s="4"/>
      <c r="G24" s="4" t="s">
        <v>13</v>
      </c>
      <c r="H24" s="21" t="s">
        <v>169</v>
      </c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>
      <c r="B44" s="6"/>
    </row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985"/>
  <sheetViews>
    <sheetView topLeftCell="B1" workbookViewId="0">
      <selection activeCell="G11" sqref="G11"/>
    </sheetView>
  </sheetViews>
  <sheetFormatPr baseColWidth="10" defaultColWidth="12.6640625" defaultRowHeight="15" customHeight="1" x14ac:dyDescent="0.25"/>
  <cols>
    <col min="1" max="1" width="12.44140625" customWidth="1"/>
    <col min="2" max="2" width="24.4414062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22"/>
      <c r="C3" s="23" t="s">
        <v>148</v>
      </c>
      <c r="D3" s="23" t="s">
        <v>149</v>
      </c>
      <c r="E3" s="23" t="s">
        <v>150</v>
      </c>
      <c r="F3" s="23" t="s">
        <v>151</v>
      </c>
      <c r="G3" s="23" t="s">
        <v>152</v>
      </c>
      <c r="H3" s="23" t="s">
        <v>153</v>
      </c>
      <c r="I3" s="23" t="s">
        <v>154</v>
      </c>
    </row>
    <row r="4" spans="2:9" ht="15.75" customHeight="1" x14ac:dyDescent="0.25">
      <c r="B4" s="8" t="s">
        <v>8</v>
      </c>
      <c r="C4" s="9">
        <v>4</v>
      </c>
      <c r="D4" s="24">
        <v>0</v>
      </c>
      <c r="E4" s="24">
        <v>0</v>
      </c>
      <c r="F4" s="24">
        <v>1</v>
      </c>
      <c r="G4" s="24">
        <v>0</v>
      </c>
      <c r="H4" s="24">
        <v>4</v>
      </c>
      <c r="I4" s="25">
        <v>4</v>
      </c>
    </row>
    <row r="5" spans="2:9" ht="15.75" customHeight="1" x14ac:dyDescent="0.25">
      <c r="B5" s="8" t="s">
        <v>15</v>
      </c>
      <c r="C5" s="9">
        <v>3</v>
      </c>
      <c r="D5" s="24">
        <v>0</v>
      </c>
      <c r="E5" s="24">
        <v>0</v>
      </c>
      <c r="F5" s="24">
        <v>0</v>
      </c>
      <c r="G5" s="24">
        <v>2</v>
      </c>
      <c r="H5" s="24">
        <v>1</v>
      </c>
      <c r="I5" s="25">
        <v>3</v>
      </c>
    </row>
    <row r="6" spans="2:9" ht="15.75" customHeight="1" x14ac:dyDescent="0.25">
      <c r="B6" s="8" t="s">
        <v>20</v>
      </c>
      <c r="C6" s="9">
        <v>2</v>
      </c>
      <c r="D6" s="24">
        <v>0</v>
      </c>
      <c r="E6" s="26">
        <v>0</v>
      </c>
      <c r="F6" s="26">
        <v>1</v>
      </c>
      <c r="G6" s="26">
        <v>1</v>
      </c>
      <c r="H6" s="26">
        <v>0</v>
      </c>
      <c r="I6" s="27">
        <v>2</v>
      </c>
    </row>
    <row r="7" spans="2:9" ht="15.75" customHeight="1" x14ac:dyDescent="0.25">
      <c r="B7" s="8" t="s">
        <v>25</v>
      </c>
      <c r="C7" s="9">
        <v>3</v>
      </c>
      <c r="D7" s="24">
        <v>0</v>
      </c>
      <c r="E7" s="26">
        <v>0</v>
      </c>
      <c r="F7" s="26">
        <v>2</v>
      </c>
      <c r="G7" s="26">
        <v>2</v>
      </c>
      <c r="H7" s="26">
        <v>0</v>
      </c>
      <c r="I7" s="27">
        <v>4</v>
      </c>
    </row>
    <row r="8" spans="2:9" ht="15.75" customHeight="1" x14ac:dyDescent="0.25">
      <c r="B8" s="8" t="s">
        <v>29</v>
      </c>
      <c r="C8" s="9">
        <v>2</v>
      </c>
      <c r="D8" s="24">
        <v>0</v>
      </c>
      <c r="E8" s="26">
        <v>1</v>
      </c>
      <c r="F8" s="26">
        <v>0</v>
      </c>
      <c r="G8" s="26">
        <v>0</v>
      </c>
      <c r="H8" s="26">
        <v>0</v>
      </c>
      <c r="I8" s="26">
        <v>1</v>
      </c>
    </row>
    <row r="9" spans="2:9" ht="15.75" customHeight="1" x14ac:dyDescent="0.25">
      <c r="B9" s="8" t="s">
        <v>34</v>
      </c>
      <c r="C9" s="9">
        <v>5</v>
      </c>
      <c r="D9" s="24">
        <v>2</v>
      </c>
      <c r="E9" s="26">
        <v>3</v>
      </c>
      <c r="F9" s="26">
        <v>0</v>
      </c>
      <c r="G9" s="26">
        <v>0</v>
      </c>
      <c r="H9" s="26">
        <v>0</v>
      </c>
      <c r="I9" s="26">
        <v>5</v>
      </c>
    </row>
    <row r="10" spans="2:9" ht="15.75" customHeight="1" x14ac:dyDescent="0.25">
      <c r="B10" s="28" t="s">
        <v>155</v>
      </c>
      <c r="C10" s="29">
        <f>SUM(C4:C9)</f>
        <v>19</v>
      </c>
      <c r="D10" s="29">
        <f t="shared" ref="D10:H10" si="0">C10-SUM(D4:D9)</f>
        <v>17</v>
      </c>
      <c r="E10" s="29">
        <f t="shared" si="0"/>
        <v>13</v>
      </c>
      <c r="F10" s="29">
        <f t="shared" si="0"/>
        <v>9</v>
      </c>
      <c r="G10" s="29">
        <f t="shared" si="0"/>
        <v>4</v>
      </c>
      <c r="H10" s="29">
        <f t="shared" si="0"/>
        <v>-1</v>
      </c>
      <c r="I10" s="10"/>
    </row>
    <row r="11" spans="2:9" ht="15.75" customHeight="1" x14ac:dyDescent="0.25">
      <c r="B11" s="30" t="s">
        <v>156</v>
      </c>
      <c r="C11" s="23">
        <f>SUM(C4:C9)</f>
        <v>19</v>
      </c>
      <c r="D11" s="23">
        <f>C11-(SUM(C4:C9)/5)</f>
        <v>15.2</v>
      </c>
      <c r="E11" s="23">
        <f>D11-(SUM(C4:C9)/5)</f>
        <v>11.399999999999999</v>
      </c>
      <c r="F11" s="23">
        <f>E11-(SUM(C4:C9)/5)</f>
        <v>7.5999999999999988</v>
      </c>
      <c r="G11" s="23">
        <f>F11-(SUM(C4:C9)/5)</f>
        <v>3.7999999999999989</v>
      </c>
      <c r="H11" s="23">
        <f>G11-(SUM(C4:C9)/5)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77" t="s">
        <v>157</v>
      </c>
      <c r="C15" s="78"/>
      <c r="D15" s="78"/>
      <c r="E15" s="78"/>
      <c r="F15" s="78"/>
      <c r="G15" s="78"/>
    </row>
    <row r="16" spans="2:9" ht="15.75" customHeight="1" x14ac:dyDescent="0.25">
      <c r="B16" s="78"/>
      <c r="C16" s="78"/>
      <c r="D16" s="78"/>
      <c r="E16" s="78"/>
      <c r="F16" s="78"/>
      <c r="G16" s="78"/>
    </row>
    <row r="17" spans="2:17" ht="15.75" customHeight="1" x14ac:dyDescent="0.25">
      <c r="B17" s="78"/>
      <c r="C17" s="78"/>
      <c r="D17" s="78"/>
      <c r="E17" s="78"/>
      <c r="F17" s="78"/>
      <c r="G17" s="78"/>
    </row>
    <row r="18" spans="2:17" ht="15.75" customHeight="1" x14ac:dyDescent="0.25">
      <c r="B18" s="78"/>
      <c r="C18" s="78"/>
      <c r="D18" s="78"/>
      <c r="E18" s="78"/>
      <c r="F18" s="78"/>
      <c r="G18" s="78"/>
    </row>
    <row r="19" spans="2:17" ht="15.75" customHeight="1" x14ac:dyDescent="0.25">
      <c r="B19" s="78"/>
      <c r="C19" s="78"/>
      <c r="D19" s="78"/>
      <c r="E19" s="78"/>
      <c r="F19" s="78"/>
      <c r="G19" s="78"/>
    </row>
    <row r="20" spans="2:17" ht="15.75" customHeight="1" x14ac:dyDescent="0.25">
      <c r="B20" s="78"/>
      <c r="C20" s="78"/>
      <c r="D20" s="78"/>
      <c r="E20" s="78"/>
      <c r="F20" s="78"/>
      <c r="G20" s="78"/>
    </row>
    <row r="21" spans="2:17" ht="15.75" customHeight="1" x14ac:dyDescent="0.25">
      <c r="B21" s="78"/>
      <c r="C21" s="78"/>
      <c r="D21" s="78"/>
      <c r="E21" s="78"/>
      <c r="F21" s="78"/>
      <c r="G21" s="78"/>
    </row>
    <row r="22" spans="2:17" ht="15.75" customHeight="1" x14ac:dyDescent="0.25">
      <c r="B22" s="78"/>
      <c r="C22" s="78"/>
      <c r="D22" s="78"/>
      <c r="E22" s="78"/>
      <c r="F22" s="78"/>
      <c r="G22" s="78"/>
    </row>
    <row r="23" spans="2:17" ht="15.75" customHeight="1" x14ac:dyDescent="0.25">
      <c r="Q23" s="31" t="e">
        <f>-B15</f>
        <v>#VALUE!</v>
      </c>
    </row>
    <row r="24" spans="2:17" ht="15.75" customHeight="1" x14ac:dyDescent="0.25"/>
    <row r="25" spans="2:17" ht="15.75" customHeight="1" x14ac:dyDescent="0.25"/>
    <row r="26" spans="2:17" ht="15.75" customHeight="1" x14ac:dyDescent="0.25"/>
    <row r="27" spans="2:17" ht="15.75" customHeight="1" x14ac:dyDescent="0.25"/>
    <row r="28" spans="2:17" ht="15.75" customHeight="1" x14ac:dyDescent="0.25"/>
    <row r="29" spans="2:17" ht="15.75" customHeight="1" x14ac:dyDescent="0.25"/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4"/>
  <sheetViews>
    <sheetView topLeftCell="A32" zoomScale="70" zoomScaleNormal="70" workbookViewId="0">
      <selection activeCell="C50" sqref="C50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36.88671875" customWidth="1"/>
    <col min="7" max="7" width="12.44140625" customWidth="1"/>
    <col min="8" max="8" width="16.109375" customWidth="1"/>
    <col min="9" max="10" width="12.44140625" customWidth="1"/>
    <col min="11" max="11" width="16.77734375" customWidth="1"/>
    <col min="12" max="27" width="12.44140625" customWidth="1"/>
  </cols>
  <sheetData>
    <row r="1" spans="1:27" ht="15.75" customHeight="1" x14ac:dyDescent="0.25"/>
    <row r="2" spans="1:27" ht="15.75" customHeight="1" x14ac:dyDescent="0.25">
      <c r="B2" s="6" t="s">
        <v>110</v>
      </c>
    </row>
    <row r="3" spans="1:27" ht="15.75" customHeight="1" x14ac:dyDescent="0.25"/>
    <row r="4" spans="1:27" ht="31.5" customHeight="1" x14ac:dyDescent="0.25">
      <c r="A4" s="5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111</v>
      </c>
      <c r="H4" s="7" t="s">
        <v>5</v>
      </c>
      <c r="I4" s="7" t="s">
        <v>6</v>
      </c>
      <c r="J4" s="7" t="s">
        <v>7</v>
      </c>
      <c r="K4" s="7" t="s">
        <v>112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39.6" x14ac:dyDescent="0.25">
      <c r="A5" s="5"/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113</v>
      </c>
      <c r="H5" s="9"/>
      <c r="I5" s="9" t="s">
        <v>13</v>
      </c>
      <c r="J5" s="9" t="s">
        <v>169</v>
      </c>
      <c r="K5" s="9">
        <v>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52.8" x14ac:dyDescent="0.25">
      <c r="A6" s="5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114</v>
      </c>
      <c r="H6" s="9"/>
      <c r="I6" s="9" t="s">
        <v>13</v>
      </c>
      <c r="J6" s="13" t="s">
        <v>169</v>
      </c>
      <c r="K6" s="9">
        <v>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39.6" x14ac:dyDescent="0.25">
      <c r="A7" s="5"/>
      <c r="B7" s="8" t="s">
        <v>20</v>
      </c>
      <c r="C7" s="9" t="s">
        <v>21</v>
      </c>
      <c r="D7" s="9" t="s">
        <v>22</v>
      </c>
      <c r="E7" s="9" t="s">
        <v>23</v>
      </c>
      <c r="F7" s="9" t="s">
        <v>24</v>
      </c>
      <c r="G7" s="9" t="s">
        <v>115</v>
      </c>
      <c r="H7" s="9"/>
      <c r="I7" s="9" t="s">
        <v>13</v>
      </c>
      <c r="J7" s="13" t="s">
        <v>169</v>
      </c>
      <c r="K7" s="9">
        <v>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39.6" x14ac:dyDescent="0.25">
      <c r="A8" s="5"/>
      <c r="B8" s="8" t="s">
        <v>25</v>
      </c>
      <c r="C8" s="9" t="s">
        <v>26</v>
      </c>
      <c r="D8" s="9" t="s">
        <v>22</v>
      </c>
      <c r="E8" s="9" t="s">
        <v>27</v>
      </c>
      <c r="F8" s="9" t="s">
        <v>28</v>
      </c>
      <c r="G8" s="9" t="s">
        <v>116</v>
      </c>
      <c r="H8" s="9"/>
      <c r="I8" s="9" t="s">
        <v>13</v>
      </c>
      <c r="J8" s="13" t="s">
        <v>169</v>
      </c>
      <c r="K8" s="9">
        <v>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6.4" x14ac:dyDescent="0.25">
      <c r="B9" s="8" t="s">
        <v>29</v>
      </c>
      <c r="C9" s="9" t="s">
        <v>30</v>
      </c>
      <c r="D9" s="9" t="s">
        <v>22</v>
      </c>
      <c r="E9" s="9" t="s">
        <v>31</v>
      </c>
      <c r="F9" s="9" t="s">
        <v>32</v>
      </c>
      <c r="G9" s="9" t="s">
        <v>113</v>
      </c>
      <c r="H9" s="9"/>
      <c r="I9" s="9" t="s">
        <v>33</v>
      </c>
      <c r="J9" s="13" t="s">
        <v>169</v>
      </c>
      <c r="K9" s="9">
        <v>2</v>
      </c>
    </row>
    <row r="10" spans="1:27" ht="39" customHeight="1" x14ac:dyDescent="0.25">
      <c r="B10" s="8" t="s">
        <v>34</v>
      </c>
      <c r="C10" s="9" t="s">
        <v>35</v>
      </c>
      <c r="D10" s="9" t="s">
        <v>22</v>
      </c>
      <c r="E10" s="9" t="s">
        <v>36</v>
      </c>
      <c r="F10" s="9" t="s">
        <v>37</v>
      </c>
      <c r="G10" s="9" t="s">
        <v>114</v>
      </c>
      <c r="H10" s="9"/>
      <c r="I10" s="9" t="s">
        <v>13</v>
      </c>
      <c r="J10" s="13" t="s">
        <v>169</v>
      </c>
      <c r="K10" s="9">
        <v>5</v>
      </c>
    </row>
    <row r="12" spans="1:27" ht="15.75" customHeight="1" x14ac:dyDescent="0.25"/>
    <row r="13" spans="1:27" ht="15.75" customHeight="1" x14ac:dyDescent="0.25">
      <c r="B13" s="10"/>
    </row>
    <row r="14" spans="1:27" ht="15.75" customHeight="1" x14ac:dyDescent="0.25">
      <c r="B14" s="11" t="s">
        <v>117</v>
      </c>
    </row>
    <row r="15" spans="1:27" ht="15.75" customHeight="1" x14ac:dyDescent="0.25"/>
    <row r="16" spans="1:27" ht="15.75" customHeight="1" x14ac:dyDescent="0.25">
      <c r="B16" s="7" t="s">
        <v>0</v>
      </c>
      <c r="C16" s="7" t="s">
        <v>1</v>
      </c>
      <c r="D16" s="7" t="s">
        <v>2</v>
      </c>
      <c r="E16" s="7" t="s">
        <v>3</v>
      </c>
      <c r="F16" s="7" t="s">
        <v>4</v>
      </c>
      <c r="G16" s="7" t="s">
        <v>111</v>
      </c>
      <c r="H16" s="7" t="s">
        <v>5</v>
      </c>
      <c r="I16" s="7" t="s">
        <v>6</v>
      </c>
      <c r="J16" s="7" t="s">
        <v>7</v>
      </c>
      <c r="K16" s="7" t="s">
        <v>112</v>
      </c>
    </row>
    <row r="17" spans="2:15" ht="42" customHeight="1" x14ac:dyDescent="0.25">
      <c r="B17" s="12" t="s">
        <v>47</v>
      </c>
      <c r="C17" s="13" t="s">
        <v>118</v>
      </c>
      <c r="D17" s="9" t="s">
        <v>17</v>
      </c>
      <c r="E17" s="13" t="s">
        <v>50</v>
      </c>
      <c r="F17" s="13" t="s">
        <v>119</v>
      </c>
      <c r="G17" s="9" t="s">
        <v>113</v>
      </c>
      <c r="H17" s="9"/>
      <c r="I17" s="9" t="s">
        <v>13</v>
      </c>
      <c r="J17" s="9" t="s">
        <v>169</v>
      </c>
      <c r="K17" s="13">
        <v>6</v>
      </c>
    </row>
    <row r="18" spans="2:15" ht="49.5" customHeight="1" x14ac:dyDescent="0.25">
      <c r="B18" s="12" t="s">
        <v>38</v>
      </c>
      <c r="C18" s="13" t="s">
        <v>39</v>
      </c>
      <c r="D18" s="9" t="s">
        <v>10</v>
      </c>
      <c r="E18" s="13" t="s">
        <v>120</v>
      </c>
      <c r="F18" s="13" t="s">
        <v>121</v>
      </c>
      <c r="G18" s="13" t="s">
        <v>115</v>
      </c>
      <c r="H18" s="9"/>
      <c r="I18" s="9" t="s">
        <v>13</v>
      </c>
      <c r="J18" s="13" t="s">
        <v>169</v>
      </c>
      <c r="K18" s="13">
        <v>5</v>
      </c>
    </row>
    <row r="19" spans="2:15" ht="48.75" customHeight="1" x14ac:dyDescent="0.25">
      <c r="B19" s="12" t="s">
        <v>93</v>
      </c>
      <c r="C19" s="4" t="s">
        <v>94</v>
      </c>
      <c r="D19" s="9" t="s">
        <v>10</v>
      </c>
      <c r="E19" s="13" t="s">
        <v>122</v>
      </c>
      <c r="F19" s="13" t="s">
        <v>123</v>
      </c>
      <c r="G19" s="13" t="s">
        <v>116</v>
      </c>
      <c r="H19" s="9"/>
      <c r="I19" s="9" t="s">
        <v>13</v>
      </c>
      <c r="J19" s="13" t="s">
        <v>169</v>
      </c>
      <c r="K19" s="13">
        <v>4</v>
      </c>
    </row>
    <row r="20" spans="2:15" ht="52.5" customHeight="1" x14ac:dyDescent="0.25">
      <c r="B20" s="14" t="s">
        <v>85</v>
      </c>
      <c r="C20" s="15" t="s">
        <v>124</v>
      </c>
      <c r="D20" s="15" t="s">
        <v>82</v>
      </c>
      <c r="E20" s="15" t="s">
        <v>125</v>
      </c>
      <c r="F20" s="15" t="s">
        <v>126</v>
      </c>
      <c r="G20" s="16" t="s">
        <v>114</v>
      </c>
      <c r="H20" s="16"/>
      <c r="I20" s="15" t="s">
        <v>33</v>
      </c>
      <c r="J20" s="13" t="s">
        <v>169</v>
      </c>
      <c r="K20" s="15">
        <v>3</v>
      </c>
    </row>
    <row r="21" spans="2:15" ht="36" customHeight="1" x14ac:dyDescent="0.25">
      <c r="B21" s="17"/>
      <c r="C21" s="18"/>
      <c r="D21" s="18"/>
      <c r="E21" s="18"/>
      <c r="F21" s="18"/>
      <c r="G21" s="18"/>
      <c r="H21" s="18"/>
      <c r="I21" s="18"/>
      <c r="J21" s="18"/>
      <c r="K21" s="18"/>
    </row>
    <row r="22" spans="2:15" ht="32.25" customHeight="1" x14ac:dyDescent="0.25">
      <c r="B22" s="19"/>
      <c r="C22" s="20"/>
      <c r="D22" s="20"/>
      <c r="E22" s="20"/>
      <c r="F22" s="20"/>
      <c r="G22" s="20"/>
      <c r="H22" s="20"/>
      <c r="I22" s="20"/>
      <c r="J22" s="20"/>
      <c r="K22" s="20"/>
    </row>
    <row r="23" spans="2:15" ht="15.75" customHeight="1" x14ac:dyDescent="0.25"/>
    <row r="24" spans="2:15" ht="15.75" customHeight="1" x14ac:dyDescent="0.25">
      <c r="B24" s="11" t="s">
        <v>127</v>
      </c>
    </row>
    <row r="25" spans="2:15" ht="15.75" customHeight="1" x14ac:dyDescent="0.25"/>
    <row r="26" spans="2:15" ht="45.75" customHeight="1" x14ac:dyDescent="0.25">
      <c r="B26" s="7" t="s">
        <v>0</v>
      </c>
      <c r="C26" s="7" t="s">
        <v>1</v>
      </c>
      <c r="D26" s="7" t="s">
        <v>2</v>
      </c>
      <c r="E26" s="7" t="s">
        <v>3</v>
      </c>
      <c r="F26" s="7" t="s">
        <v>4</v>
      </c>
      <c r="G26" s="7" t="s">
        <v>111</v>
      </c>
      <c r="H26" s="7" t="s">
        <v>5</v>
      </c>
      <c r="I26" s="7" t="s">
        <v>6</v>
      </c>
      <c r="J26" s="7" t="s">
        <v>7</v>
      </c>
      <c r="K26" s="7" t="s">
        <v>112</v>
      </c>
    </row>
    <row r="27" spans="2:15" ht="47.25" customHeight="1" x14ac:dyDescent="0.25">
      <c r="B27" s="12" t="s">
        <v>42</v>
      </c>
      <c r="C27" s="13" t="s">
        <v>43</v>
      </c>
      <c r="D27" s="13" t="s">
        <v>82</v>
      </c>
      <c r="E27" s="13" t="s">
        <v>128</v>
      </c>
      <c r="F27" s="13" t="s">
        <v>129</v>
      </c>
      <c r="G27" s="13" t="s">
        <v>116</v>
      </c>
      <c r="H27" s="13"/>
      <c r="I27" s="13" t="s">
        <v>13</v>
      </c>
      <c r="J27" s="13" t="s">
        <v>169</v>
      </c>
      <c r="K27" s="13">
        <v>4</v>
      </c>
    </row>
    <row r="28" spans="2:15" ht="53.25" customHeight="1" x14ac:dyDescent="0.25">
      <c r="B28" s="12" t="s">
        <v>52</v>
      </c>
      <c r="C28" s="13" t="s">
        <v>53</v>
      </c>
      <c r="D28" s="13" t="s">
        <v>17</v>
      </c>
      <c r="E28" s="13" t="s">
        <v>54</v>
      </c>
      <c r="F28" s="13" t="s">
        <v>55</v>
      </c>
      <c r="G28" s="13" t="s">
        <v>116</v>
      </c>
      <c r="H28" s="13"/>
      <c r="I28" s="13" t="s">
        <v>13</v>
      </c>
      <c r="J28" s="13" t="s">
        <v>169</v>
      </c>
      <c r="K28" s="13">
        <v>3</v>
      </c>
    </row>
    <row r="29" spans="2:15" ht="53.25" customHeight="1" x14ac:dyDescent="0.25">
      <c r="B29" s="12" t="s">
        <v>56</v>
      </c>
      <c r="C29" s="13" t="s">
        <v>57</v>
      </c>
      <c r="D29" s="13" t="s">
        <v>10</v>
      </c>
      <c r="E29" s="13" t="s">
        <v>58</v>
      </c>
      <c r="F29" s="13" t="s">
        <v>59</v>
      </c>
      <c r="G29" s="13" t="s">
        <v>116</v>
      </c>
      <c r="H29" s="13"/>
      <c r="I29" s="13" t="s">
        <v>13</v>
      </c>
      <c r="J29" s="13" t="s">
        <v>169</v>
      </c>
      <c r="K29" s="13">
        <v>2</v>
      </c>
    </row>
    <row r="30" spans="2:15" ht="54.75" customHeight="1" x14ac:dyDescent="0.25">
      <c r="B30" s="12" t="s">
        <v>60</v>
      </c>
      <c r="C30" s="13" t="s">
        <v>61</v>
      </c>
      <c r="D30" s="13" t="s">
        <v>10</v>
      </c>
      <c r="E30" s="13" t="s">
        <v>62</v>
      </c>
      <c r="F30" s="13" t="s">
        <v>63</v>
      </c>
      <c r="G30" s="13" t="s">
        <v>115</v>
      </c>
      <c r="H30" s="13"/>
      <c r="I30" s="13" t="s">
        <v>13</v>
      </c>
      <c r="J30" s="13" t="s">
        <v>169</v>
      </c>
      <c r="K30" s="13">
        <v>3</v>
      </c>
    </row>
    <row r="31" spans="2:15" ht="39.6" x14ac:dyDescent="0.25">
      <c r="B31" s="12" t="s">
        <v>64</v>
      </c>
      <c r="C31" s="13" t="s">
        <v>65</v>
      </c>
      <c r="D31" s="13" t="s">
        <v>10</v>
      </c>
      <c r="E31" s="13" t="s">
        <v>66</v>
      </c>
      <c r="F31" s="13" t="s">
        <v>67</v>
      </c>
      <c r="G31" s="13" t="s">
        <v>114</v>
      </c>
      <c r="H31" s="13"/>
      <c r="I31" s="13" t="s">
        <v>13</v>
      </c>
      <c r="J31" s="13" t="s">
        <v>169</v>
      </c>
      <c r="K31" s="13">
        <v>3</v>
      </c>
    </row>
    <row r="32" spans="2:15" ht="39.6" x14ac:dyDescent="0.25">
      <c r="B32" s="12" t="s">
        <v>76</v>
      </c>
      <c r="C32" s="13" t="s">
        <v>130</v>
      </c>
      <c r="D32" s="13" t="s">
        <v>17</v>
      </c>
      <c r="E32" s="13" t="s">
        <v>131</v>
      </c>
      <c r="F32" s="13" t="s">
        <v>132</v>
      </c>
      <c r="G32" s="13" t="s">
        <v>113</v>
      </c>
      <c r="H32" s="13"/>
      <c r="I32" s="13" t="s">
        <v>13</v>
      </c>
      <c r="J32" s="13" t="s">
        <v>169</v>
      </c>
      <c r="K32" s="13">
        <v>3</v>
      </c>
      <c r="O32" s="3"/>
    </row>
    <row r="33" spans="2:11" ht="39.6" x14ac:dyDescent="0.25">
      <c r="B33" s="12" t="s">
        <v>89</v>
      </c>
      <c r="C33" s="13" t="s">
        <v>133</v>
      </c>
      <c r="D33" s="13" t="s">
        <v>82</v>
      </c>
      <c r="E33" s="13" t="s">
        <v>134</v>
      </c>
      <c r="F33" s="13" t="s">
        <v>135</v>
      </c>
      <c r="G33" s="13" t="s">
        <v>115</v>
      </c>
      <c r="H33" s="13"/>
      <c r="I33" s="13" t="s">
        <v>33</v>
      </c>
      <c r="J33" s="13" t="s">
        <v>169</v>
      </c>
      <c r="K33" s="13">
        <v>3</v>
      </c>
    </row>
    <row r="34" spans="2:11" ht="39.6" x14ac:dyDescent="0.25">
      <c r="B34" s="12" t="s">
        <v>80</v>
      </c>
      <c r="C34" s="13" t="s">
        <v>136</v>
      </c>
      <c r="D34" s="13" t="s">
        <v>82</v>
      </c>
      <c r="E34" s="13" t="s">
        <v>137</v>
      </c>
      <c r="F34" s="13" t="s">
        <v>138</v>
      </c>
      <c r="G34" s="13" t="s">
        <v>114</v>
      </c>
      <c r="H34" s="13"/>
      <c r="I34" s="13" t="s">
        <v>13</v>
      </c>
      <c r="J34" s="13" t="s">
        <v>169</v>
      </c>
      <c r="K34" s="13">
        <v>2</v>
      </c>
    </row>
    <row r="35" spans="2:11" ht="15.75" customHeight="1" x14ac:dyDescent="0.25"/>
    <row r="36" spans="2:11" ht="15.75" customHeight="1" x14ac:dyDescent="0.25"/>
    <row r="37" spans="2:11" ht="15.75" customHeight="1" x14ac:dyDescent="0.25"/>
    <row r="38" spans="2:11" ht="38.25" customHeight="1" x14ac:dyDescent="0.25"/>
    <row r="39" spans="2:11" ht="40.5" customHeight="1" x14ac:dyDescent="0.25"/>
    <row r="40" spans="2:11" ht="52.5" customHeight="1" x14ac:dyDescent="0.25">
      <c r="B40" s="11" t="s">
        <v>139</v>
      </c>
    </row>
    <row r="41" spans="2:11" ht="13.2" x14ac:dyDescent="0.25"/>
    <row r="42" spans="2:11" ht="26.4" x14ac:dyDescent="0.25">
      <c r="B42" s="7" t="s">
        <v>0</v>
      </c>
      <c r="C42" s="7" t="s">
        <v>1</v>
      </c>
      <c r="D42" s="7" t="s">
        <v>2</v>
      </c>
      <c r="E42" s="7" t="s">
        <v>3</v>
      </c>
      <c r="F42" s="7" t="s">
        <v>4</v>
      </c>
      <c r="G42" s="7" t="s">
        <v>111</v>
      </c>
      <c r="H42" s="7" t="s">
        <v>5</v>
      </c>
      <c r="I42" s="7" t="s">
        <v>6</v>
      </c>
      <c r="J42" s="7" t="s">
        <v>7</v>
      </c>
      <c r="K42" s="7" t="s">
        <v>112</v>
      </c>
    </row>
    <row r="43" spans="2:11" ht="52.8" x14ac:dyDescent="0.25">
      <c r="B43" s="12" t="s">
        <v>97</v>
      </c>
      <c r="C43" s="13" t="s">
        <v>98</v>
      </c>
      <c r="D43" s="13" t="s">
        <v>10</v>
      </c>
      <c r="E43" s="13" t="s">
        <v>140</v>
      </c>
      <c r="F43" s="13" t="s">
        <v>141</v>
      </c>
      <c r="G43" s="13" t="s">
        <v>113</v>
      </c>
      <c r="H43" s="9"/>
      <c r="I43" s="13" t="s">
        <v>33</v>
      </c>
      <c r="J43" s="13" t="s">
        <v>169</v>
      </c>
      <c r="K43" s="13">
        <v>3</v>
      </c>
    </row>
    <row r="44" spans="2:11" ht="39.6" x14ac:dyDescent="0.25">
      <c r="B44" s="12" t="s">
        <v>102</v>
      </c>
      <c r="C44" s="13" t="s">
        <v>39</v>
      </c>
      <c r="D44" s="9" t="s">
        <v>10</v>
      </c>
      <c r="E44" s="13" t="s">
        <v>142</v>
      </c>
      <c r="F44" s="13" t="s">
        <v>143</v>
      </c>
      <c r="G44" s="13" t="s">
        <v>116</v>
      </c>
      <c r="H44" s="9"/>
      <c r="I44" s="13" t="s">
        <v>33</v>
      </c>
      <c r="J44" s="13" t="s">
        <v>169</v>
      </c>
      <c r="K44" s="13">
        <v>3</v>
      </c>
    </row>
    <row r="45" spans="2:11" ht="52.8" x14ac:dyDescent="0.25">
      <c r="B45" s="12" t="s">
        <v>106</v>
      </c>
      <c r="C45" s="13" t="s">
        <v>107</v>
      </c>
      <c r="D45" s="9" t="s">
        <v>10</v>
      </c>
      <c r="E45" s="13" t="s">
        <v>144</v>
      </c>
      <c r="F45" s="13" t="s">
        <v>145</v>
      </c>
      <c r="G45" s="13" t="s">
        <v>115</v>
      </c>
      <c r="H45" s="9"/>
      <c r="I45" s="9" t="s">
        <v>13</v>
      </c>
      <c r="J45" s="13" t="s">
        <v>169</v>
      </c>
      <c r="K45" s="13">
        <v>3</v>
      </c>
    </row>
    <row r="46" spans="2:11" ht="39.6" x14ac:dyDescent="0.25">
      <c r="B46" s="12" t="s">
        <v>146</v>
      </c>
      <c r="C46" s="13" t="s">
        <v>53</v>
      </c>
      <c r="D46" s="13" t="s">
        <v>17</v>
      </c>
      <c r="E46" s="13" t="s">
        <v>54</v>
      </c>
      <c r="F46" s="13" t="s">
        <v>147</v>
      </c>
      <c r="G46" s="9" t="s">
        <v>114</v>
      </c>
      <c r="H46" s="9"/>
      <c r="I46" s="9" t="s">
        <v>13</v>
      </c>
      <c r="J46" s="13" t="s">
        <v>169</v>
      </c>
      <c r="K46" s="13">
        <v>2</v>
      </c>
    </row>
    <row r="47" spans="2:11" ht="39.6" x14ac:dyDescent="0.25">
      <c r="B47" s="12" t="s">
        <v>68</v>
      </c>
      <c r="C47" s="21" t="s">
        <v>69</v>
      </c>
      <c r="D47" s="21" t="s">
        <v>10</v>
      </c>
      <c r="E47" s="21" t="s">
        <v>70</v>
      </c>
      <c r="F47" s="21" t="s">
        <v>71</v>
      </c>
      <c r="G47" s="13" t="s">
        <v>114</v>
      </c>
      <c r="H47" s="13"/>
      <c r="I47" s="13" t="s">
        <v>13</v>
      </c>
      <c r="J47" s="13" t="s">
        <v>169</v>
      </c>
      <c r="K47" s="13">
        <v>1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X974"/>
  <sheetViews>
    <sheetView tabSelected="1" zoomScale="51" zoomScaleNormal="55" workbookViewId="0">
      <selection activeCell="D27" sqref="D27"/>
    </sheetView>
  </sheetViews>
  <sheetFormatPr baseColWidth="10" defaultColWidth="12.6640625" defaultRowHeight="15" customHeight="1" x14ac:dyDescent="0.25"/>
  <cols>
    <col min="1" max="1" width="12.44140625" customWidth="1"/>
    <col min="2" max="2" width="24.44140625" customWidth="1"/>
    <col min="3" max="27" width="12.44140625" customWidth="1"/>
  </cols>
  <sheetData>
    <row r="1" spans="2:24" ht="15.75" customHeight="1" x14ac:dyDescent="0.25"/>
    <row r="2" spans="2:24" ht="15.75" customHeight="1" thickBot="1" x14ac:dyDescent="0.3"/>
    <row r="3" spans="2:24" ht="15.75" customHeight="1" thickBot="1" x14ac:dyDescent="0.3">
      <c r="B3" s="32" t="s">
        <v>158</v>
      </c>
      <c r="C3" s="33" t="s">
        <v>148</v>
      </c>
      <c r="D3" s="35" t="s">
        <v>174</v>
      </c>
      <c r="E3" s="35" t="s">
        <v>173</v>
      </c>
      <c r="F3" s="35" t="s">
        <v>172</v>
      </c>
      <c r="G3" s="35" t="s">
        <v>171</v>
      </c>
      <c r="H3" s="35" t="s">
        <v>170</v>
      </c>
      <c r="I3" s="34" t="s">
        <v>159</v>
      </c>
      <c r="J3" s="34" t="s">
        <v>160</v>
      </c>
      <c r="K3" s="34" t="s">
        <v>161</v>
      </c>
      <c r="L3" s="34" t="s">
        <v>162</v>
      </c>
      <c r="M3" s="34" t="s">
        <v>163</v>
      </c>
      <c r="N3" s="34" t="s">
        <v>164</v>
      </c>
      <c r="O3" s="34" t="s">
        <v>165</v>
      </c>
      <c r="P3" s="34" t="s">
        <v>166</v>
      </c>
      <c r="Q3" s="34" t="s">
        <v>167</v>
      </c>
      <c r="R3" s="34" t="s">
        <v>168</v>
      </c>
      <c r="S3" s="34" t="s">
        <v>149</v>
      </c>
      <c r="T3" s="34" t="s">
        <v>150</v>
      </c>
      <c r="U3" s="35" t="s">
        <v>151</v>
      </c>
      <c r="V3" s="35" t="s">
        <v>152</v>
      </c>
      <c r="W3" s="35" t="s">
        <v>153</v>
      </c>
      <c r="X3" s="36" t="s">
        <v>154</v>
      </c>
    </row>
    <row r="4" spans="2:24" ht="15.75" customHeight="1" x14ac:dyDescent="0.25">
      <c r="B4" s="37" t="s">
        <v>8</v>
      </c>
      <c r="C4" s="38">
        <v>4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40">
        <v>1</v>
      </c>
      <c r="V4" s="41">
        <v>1</v>
      </c>
      <c r="W4" s="41">
        <v>2</v>
      </c>
      <c r="X4" s="42">
        <f t="shared" ref="X4:X24" si="0">SUM(D4:W4)</f>
        <v>4</v>
      </c>
    </row>
    <row r="5" spans="2:24" ht="15.75" customHeight="1" x14ac:dyDescent="0.25">
      <c r="B5" s="37" t="s">
        <v>15</v>
      </c>
      <c r="C5" s="43">
        <v>3</v>
      </c>
      <c r="D5" s="46">
        <v>0</v>
      </c>
      <c r="E5" s="46">
        <v>0</v>
      </c>
      <c r="F5" s="46">
        <v>0</v>
      </c>
      <c r="G5" s="46">
        <v>0</v>
      </c>
      <c r="H5" s="46">
        <v>0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5">
        <v>1</v>
      </c>
      <c r="U5" s="45">
        <v>1</v>
      </c>
      <c r="V5" s="46">
        <v>1</v>
      </c>
      <c r="W5" s="46">
        <v>0</v>
      </c>
      <c r="X5" s="42">
        <f t="shared" si="0"/>
        <v>3</v>
      </c>
    </row>
    <row r="6" spans="2:24" ht="15.75" customHeight="1" x14ac:dyDescent="0.25">
      <c r="B6" s="37" t="s">
        <v>20</v>
      </c>
      <c r="C6" s="43">
        <v>2</v>
      </c>
      <c r="D6" s="46">
        <v>0</v>
      </c>
      <c r="E6" s="46">
        <v>0</v>
      </c>
      <c r="F6" s="46">
        <v>0</v>
      </c>
      <c r="G6" s="46">
        <v>0</v>
      </c>
      <c r="H6" s="46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5">
        <v>0</v>
      </c>
      <c r="T6" s="45">
        <v>1</v>
      </c>
      <c r="U6" s="46">
        <v>1</v>
      </c>
      <c r="V6" s="46">
        <v>0</v>
      </c>
      <c r="W6" s="46">
        <v>0</v>
      </c>
      <c r="X6" s="42">
        <f t="shared" si="0"/>
        <v>2</v>
      </c>
    </row>
    <row r="7" spans="2:24" ht="15.75" customHeight="1" x14ac:dyDescent="0.25">
      <c r="B7" s="37" t="s">
        <v>25</v>
      </c>
      <c r="C7" s="43">
        <v>3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5">
        <v>1</v>
      </c>
      <c r="S7" s="45">
        <v>1</v>
      </c>
      <c r="T7" s="44">
        <v>1</v>
      </c>
      <c r="U7" s="46">
        <v>0</v>
      </c>
      <c r="V7" s="46">
        <v>0</v>
      </c>
      <c r="W7" s="46">
        <v>0</v>
      </c>
      <c r="X7" s="42">
        <f t="shared" si="0"/>
        <v>3</v>
      </c>
    </row>
    <row r="8" spans="2:24" ht="15.75" customHeight="1" x14ac:dyDescent="0.25">
      <c r="B8" s="37" t="s">
        <v>29</v>
      </c>
      <c r="C8" s="47">
        <v>2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5">
        <v>1</v>
      </c>
      <c r="R8" s="45">
        <v>1</v>
      </c>
      <c r="S8" s="44">
        <v>0</v>
      </c>
      <c r="T8" s="45">
        <v>0</v>
      </c>
      <c r="U8" s="45">
        <v>0</v>
      </c>
      <c r="V8" s="46">
        <v>0</v>
      </c>
      <c r="W8" s="46">
        <v>0</v>
      </c>
      <c r="X8" s="42">
        <f t="shared" si="0"/>
        <v>2</v>
      </c>
    </row>
    <row r="9" spans="2:24" ht="15.75" customHeight="1" thickBot="1" x14ac:dyDescent="0.3">
      <c r="B9" s="37" t="s">
        <v>34</v>
      </c>
      <c r="C9" s="43">
        <v>5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4">
        <v>0</v>
      </c>
      <c r="O9" s="44">
        <v>0</v>
      </c>
      <c r="P9" s="44">
        <v>2</v>
      </c>
      <c r="Q9" s="44">
        <v>2</v>
      </c>
      <c r="R9" s="44">
        <v>1</v>
      </c>
      <c r="S9" s="44">
        <v>0</v>
      </c>
      <c r="T9" s="46">
        <v>0</v>
      </c>
      <c r="U9" s="46">
        <v>0</v>
      </c>
      <c r="V9" s="45">
        <v>0</v>
      </c>
      <c r="W9" s="46">
        <v>0</v>
      </c>
      <c r="X9" s="42">
        <f t="shared" si="0"/>
        <v>5</v>
      </c>
    </row>
    <row r="10" spans="2:24" ht="15.75" customHeight="1" thickBot="1" x14ac:dyDescent="0.3">
      <c r="B10" s="48" t="s">
        <v>47</v>
      </c>
      <c r="C10" s="49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2</v>
      </c>
      <c r="P10" s="50">
        <v>0</v>
      </c>
      <c r="Q10" s="50">
        <v>0</v>
      </c>
      <c r="R10" s="50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42">
        <f t="shared" si="0"/>
        <v>2</v>
      </c>
    </row>
    <row r="11" spans="2:24" ht="15.75" customHeight="1" thickBot="1" x14ac:dyDescent="0.3">
      <c r="B11" s="52" t="s">
        <v>38</v>
      </c>
      <c r="C11" s="53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2</v>
      </c>
      <c r="P11" s="54">
        <v>0</v>
      </c>
      <c r="Q11" s="54">
        <v>1</v>
      </c>
      <c r="R11" s="54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42">
        <f t="shared" si="0"/>
        <v>3</v>
      </c>
    </row>
    <row r="12" spans="2:24" ht="15.75" customHeight="1" thickBot="1" x14ac:dyDescent="0.3">
      <c r="B12" s="52" t="s">
        <v>93</v>
      </c>
      <c r="C12" s="53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4">
        <v>0</v>
      </c>
      <c r="J12" s="54">
        <v>0</v>
      </c>
      <c r="K12" s="54">
        <v>0</v>
      </c>
      <c r="L12" s="54">
        <v>0</v>
      </c>
      <c r="M12" s="54">
        <v>1</v>
      </c>
      <c r="N12" s="54">
        <v>1</v>
      </c>
      <c r="O12" s="54">
        <v>0</v>
      </c>
      <c r="P12" s="54">
        <v>0</v>
      </c>
      <c r="Q12" s="54">
        <v>0</v>
      </c>
      <c r="R12" s="54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42">
        <f t="shared" si="0"/>
        <v>2</v>
      </c>
    </row>
    <row r="13" spans="2:24" ht="15.75" customHeight="1" x14ac:dyDescent="0.25">
      <c r="B13" s="52" t="s">
        <v>85</v>
      </c>
      <c r="C13" s="53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4">
        <v>0</v>
      </c>
      <c r="J13" s="54">
        <v>0</v>
      </c>
      <c r="K13" s="54">
        <v>0</v>
      </c>
      <c r="L13" s="54">
        <v>0</v>
      </c>
      <c r="M13" s="54">
        <v>2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42">
        <f t="shared" si="0"/>
        <v>2</v>
      </c>
    </row>
    <row r="14" spans="2:24" ht="15.75" customHeight="1" thickBot="1" x14ac:dyDescent="0.3">
      <c r="B14" s="56" t="s">
        <v>42</v>
      </c>
      <c r="C14" s="57">
        <v>4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8">
        <v>0</v>
      </c>
      <c r="J14" s="59">
        <v>0</v>
      </c>
      <c r="K14" s="58">
        <v>0</v>
      </c>
      <c r="L14" s="59">
        <v>4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8">
        <v>0</v>
      </c>
      <c r="U14" s="58">
        <v>0</v>
      </c>
      <c r="V14" s="58">
        <v>0</v>
      </c>
      <c r="W14" s="60">
        <v>0</v>
      </c>
      <c r="X14" s="42">
        <f t="shared" si="0"/>
        <v>4</v>
      </c>
    </row>
    <row r="15" spans="2:24" ht="15.75" customHeight="1" thickBot="1" x14ac:dyDescent="0.3">
      <c r="B15" s="56" t="s">
        <v>52</v>
      </c>
      <c r="C15" s="57">
        <v>3</v>
      </c>
      <c r="D15" s="59">
        <v>0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3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60">
        <v>0</v>
      </c>
      <c r="X15" s="42">
        <f t="shared" si="0"/>
        <v>3</v>
      </c>
    </row>
    <row r="16" spans="2:24" ht="15.75" customHeight="1" thickBot="1" x14ac:dyDescent="0.3">
      <c r="B16" s="56" t="s">
        <v>56</v>
      </c>
      <c r="C16" s="57">
        <v>2</v>
      </c>
      <c r="D16" s="59">
        <v>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3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60">
        <v>0</v>
      </c>
      <c r="X16" s="42">
        <f t="shared" si="0"/>
        <v>3</v>
      </c>
    </row>
    <row r="17" spans="2:24" ht="15.75" customHeight="1" thickBot="1" x14ac:dyDescent="0.3">
      <c r="B17" s="56" t="s">
        <v>60</v>
      </c>
      <c r="C17" s="57">
        <v>3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3</v>
      </c>
      <c r="K17" s="59">
        <v>1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60">
        <v>0</v>
      </c>
      <c r="X17" s="42">
        <f t="shared" si="0"/>
        <v>4</v>
      </c>
    </row>
    <row r="18" spans="2:24" ht="15.75" customHeight="1" thickBot="1" x14ac:dyDescent="0.3">
      <c r="B18" s="56" t="s">
        <v>64</v>
      </c>
      <c r="C18" s="57">
        <v>3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3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60">
        <v>0</v>
      </c>
      <c r="X18" s="42">
        <f t="shared" si="0"/>
        <v>3</v>
      </c>
    </row>
    <row r="19" spans="2:24" ht="15.75" customHeight="1" thickBot="1" x14ac:dyDescent="0.3">
      <c r="B19" s="56" t="s">
        <v>76</v>
      </c>
      <c r="C19" s="57">
        <v>3</v>
      </c>
      <c r="D19" s="59">
        <v>0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4</v>
      </c>
      <c r="K19" s="58">
        <v>0</v>
      </c>
      <c r="L19" s="58">
        <v>0</v>
      </c>
      <c r="M19" s="58">
        <v>0</v>
      </c>
      <c r="N19" s="58">
        <v>0</v>
      </c>
      <c r="O19" s="59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60">
        <v>0</v>
      </c>
      <c r="X19" s="42">
        <f t="shared" si="0"/>
        <v>4</v>
      </c>
    </row>
    <row r="20" spans="2:24" ht="15.75" customHeight="1" thickBot="1" x14ac:dyDescent="0.3">
      <c r="B20" s="56" t="s">
        <v>89</v>
      </c>
      <c r="C20" s="57">
        <v>3</v>
      </c>
      <c r="D20" s="59">
        <v>0</v>
      </c>
      <c r="E20" s="59">
        <v>0</v>
      </c>
      <c r="F20" s="59">
        <v>0</v>
      </c>
      <c r="G20" s="59">
        <v>0</v>
      </c>
      <c r="H20" s="59">
        <v>1</v>
      </c>
      <c r="I20" s="59">
        <v>2</v>
      </c>
      <c r="J20" s="59">
        <v>0</v>
      </c>
      <c r="K20" s="59">
        <v>0</v>
      </c>
      <c r="L20" s="59">
        <v>0</v>
      </c>
      <c r="M20" s="58">
        <v>0</v>
      </c>
      <c r="N20" s="58">
        <v>0</v>
      </c>
      <c r="O20" s="58">
        <v>0</v>
      </c>
      <c r="P20" s="58">
        <v>0</v>
      </c>
      <c r="Q20" s="59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60">
        <v>0</v>
      </c>
      <c r="X20" s="42">
        <f t="shared" si="0"/>
        <v>3</v>
      </c>
    </row>
    <row r="21" spans="2:24" ht="15.75" customHeight="1" thickBot="1" x14ac:dyDescent="0.3">
      <c r="B21" s="56" t="s">
        <v>80</v>
      </c>
      <c r="C21" s="57">
        <v>2</v>
      </c>
      <c r="D21" s="59">
        <v>0</v>
      </c>
      <c r="E21" s="59">
        <v>0</v>
      </c>
      <c r="F21" s="59">
        <v>0</v>
      </c>
      <c r="G21" s="59">
        <v>0</v>
      </c>
      <c r="H21" s="59">
        <v>2</v>
      </c>
      <c r="I21" s="58">
        <v>0</v>
      </c>
      <c r="J21" s="58">
        <v>0</v>
      </c>
      <c r="K21" s="58">
        <v>0</v>
      </c>
      <c r="L21" s="58">
        <v>0</v>
      </c>
      <c r="M21" s="59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9">
        <v>0</v>
      </c>
      <c r="T21" s="59">
        <v>0</v>
      </c>
      <c r="U21" s="58">
        <v>0</v>
      </c>
      <c r="V21" s="58">
        <v>0</v>
      </c>
      <c r="W21" s="60">
        <v>0</v>
      </c>
      <c r="X21" s="42">
        <f t="shared" si="0"/>
        <v>2</v>
      </c>
    </row>
    <row r="22" spans="2:24" ht="15.75" customHeight="1" thickBot="1" x14ac:dyDescent="0.3">
      <c r="B22" s="61" t="s">
        <v>97</v>
      </c>
      <c r="C22" s="43">
        <v>3</v>
      </c>
      <c r="D22" s="63">
        <v>0</v>
      </c>
      <c r="E22" s="63">
        <v>0</v>
      </c>
      <c r="F22" s="63">
        <v>0</v>
      </c>
      <c r="G22" s="63">
        <v>3</v>
      </c>
      <c r="H22" s="63">
        <v>0</v>
      </c>
      <c r="I22" s="62">
        <v>0</v>
      </c>
      <c r="J22" s="62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4">
        <v>0</v>
      </c>
      <c r="X22" s="42">
        <f t="shared" si="0"/>
        <v>3</v>
      </c>
    </row>
    <row r="23" spans="2:24" ht="15.75" customHeight="1" thickBot="1" x14ac:dyDescent="0.3">
      <c r="B23" s="65" t="s">
        <v>102</v>
      </c>
      <c r="C23" s="66">
        <v>3</v>
      </c>
      <c r="D23" s="68">
        <v>0</v>
      </c>
      <c r="E23" s="68">
        <v>1</v>
      </c>
      <c r="F23" s="68">
        <v>2</v>
      </c>
      <c r="G23" s="68">
        <v>1</v>
      </c>
      <c r="H23" s="68">
        <v>0</v>
      </c>
      <c r="I23" s="63">
        <v>0</v>
      </c>
      <c r="J23" s="67">
        <v>0</v>
      </c>
      <c r="K23" s="67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42">
        <f t="shared" si="0"/>
        <v>4</v>
      </c>
    </row>
    <row r="24" spans="2:24" ht="15.75" customHeight="1" thickBot="1" x14ac:dyDescent="0.3">
      <c r="B24" s="70" t="s">
        <v>106</v>
      </c>
      <c r="C24" s="43">
        <v>3</v>
      </c>
      <c r="D24" s="71">
        <v>0</v>
      </c>
      <c r="E24" s="71">
        <v>1</v>
      </c>
      <c r="F24" s="71">
        <v>3</v>
      </c>
      <c r="G24" s="71">
        <v>0</v>
      </c>
      <c r="H24" s="71">
        <v>0</v>
      </c>
      <c r="I24" s="63">
        <v>0</v>
      </c>
      <c r="J24" s="69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42">
        <f t="shared" si="0"/>
        <v>4</v>
      </c>
    </row>
    <row r="25" spans="2:24" ht="15.75" customHeight="1" thickBot="1" x14ac:dyDescent="0.3">
      <c r="B25" s="70" t="s">
        <v>68</v>
      </c>
      <c r="C25" s="53">
        <v>1</v>
      </c>
      <c r="D25" s="71">
        <v>0</v>
      </c>
      <c r="E25" s="71">
        <v>1</v>
      </c>
      <c r="F25" s="71">
        <v>0</v>
      </c>
      <c r="G25" s="71">
        <v>0</v>
      </c>
      <c r="H25" s="71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42">
        <f>SUM(D25:W25)</f>
        <v>1</v>
      </c>
    </row>
    <row r="26" spans="2:24" ht="15.75" customHeight="1" x14ac:dyDescent="0.25">
      <c r="B26" s="70" t="s">
        <v>93</v>
      </c>
      <c r="C26" s="43">
        <v>2</v>
      </c>
      <c r="D26" s="71">
        <v>4</v>
      </c>
      <c r="E26" s="71">
        <v>0</v>
      </c>
      <c r="F26" s="71">
        <v>0</v>
      </c>
      <c r="G26" s="71">
        <v>0</v>
      </c>
      <c r="H26" s="71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42">
        <f>SUM(D26:W26)</f>
        <v>4</v>
      </c>
    </row>
    <row r="27" spans="2:24" ht="15.75" customHeight="1" x14ac:dyDescent="0.25"/>
    <row r="28" spans="2:24" ht="15.75" customHeight="1" x14ac:dyDescent="0.25">
      <c r="B28" s="72" t="s">
        <v>155</v>
      </c>
      <c r="C28" s="73">
        <f>SUM(C4:C26)</f>
        <v>61</v>
      </c>
      <c r="D28" s="73">
        <f>C28-SUM(D4:D26)</f>
        <v>57</v>
      </c>
      <c r="E28" s="73">
        <f>D28-SUM(E4:E26)</f>
        <v>54</v>
      </c>
      <c r="F28" s="73">
        <f>E28-SUM(F4:F26)</f>
        <v>49</v>
      </c>
      <c r="G28" s="73">
        <f>F28-SUM(G4:G26)</f>
        <v>45</v>
      </c>
      <c r="H28" s="73">
        <f>G28-SUM(H4:H26)</f>
        <v>42</v>
      </c>
      <c r="I28" s="73">
        <f>H28-SUM(I4:I26)</f>
        <v>40</v>
      </c>
      <c r="J28" s="73">
        <f>I28-SUM(J4:J26)</f>
        <v>30</v>
      </c>
      <c r="K28" s="73">
        <f>J28-SUM(K4:K26)</f>
        <v>26</v>
      </c>
      <c r="L28" s="73">
        <f>K28-SUM(L4:L26)</f>
        <v>19</v>
      </c>
      <c r="M28" s="73">
        <f>L28-SUM(M4:M26)</f>
        <v>16</v>
      </c>
      <c r="N28" s="73">
        <f>M28-SUM(N4:N26)</f>
        <v>15</v>
      </c>
      <c r="O28" s="73">
        <f>N28-SUM(O4:O26)</f>
        <v>11</v>
      </c>
      <c r="P28" s="73">
        <f>O28-SUM(P4:P26)</f>
        <v>9</v>
      </c>
      <c r="Q28" s="73">
        <f>P28-SUM(Q4:Q26)</f>
        <v>5</v>
      </c>
      <c r="R28" s="73">
        <f>Q28-SUM(R4:R26)</f>
        <v>2</v>
      </c>
      <c r="S28" s="74">
        <f>R28-SUM(S4:S26)</f>
        <v>1</v>
      </c>
      <c r="T28" s="74">
        <f>S28-SUM(T4:T26)</f>
        <v>-2</v>
      </c>
      <c r="U28" s="74">
        <f>T28-SUM(U4:U26)</f>
        <v>-5</v>
      </c>
      <c r="V28" s="74">
        <f>U28-SUM(V4:V26)</f>
        <v>-7</v>
      </c>
      <c r="W28" s="74">
        <f>V28-SUM(W4:W26)</f>
        <v>-9</v>
      </c>
      <c r="X28" s="74"/>
    </row>
    <row r="29" spans="2:24" ht="15.75" customHeight="1" thickBot="1" x14ac:dyDescent="0.3">
      <c r="B29" s="79" t="s">
        <v>175</v>
      </c>
      <c r="C29" s="75">
        <f>SUM(C4:C26)</f>
        <v>61</v>
      </c>
      <c r="D29" s="75">
        <f>C29-(SUM($C$4:$C$26)/30)</f>
        <v>58.966666666666669</v>
      </c>
      <c r="E29" s="75">
        <f>D29-(SUM($C$4:$C$26)/30)</f>
        <v>56.933333333333337</v>
      </c>
      <c r="F29" s="75">
        <f>E29-(SUM($C$4:$C$26)/30)</f>
        <v>54.900000000000006</v>
      </c>
      <c r="G29" s="75">
        <f>F29-(SUM($C$4:$C$26)/30)</f>
        <v>52.866666666666674</v>
      </c>
      <c r="H29" s="75">
        <f>G29-(SUM($C$4:$C$26)/30)</f>
        <v>50.833333333333343</v>
      </c>
      <c r="I29" s="75">
        <f>H29-(SUM($C$4:$C$26)/30)</f>
        <v>48.800000000000011</v>
      </c>
      <c r="J29" s="75">
        <f>I29-(SUM($C$4:$C$26)/30)</f>
        <v>46.76666666666668</v>
      </c>
      <c r="K29" s="75">
        <f>J29-(SUM($C$4:$C$26)/30)</f>
        <v>44.733333333333348</v>
      </c>
      <c r="L29" s="75">
        <f>K29-(SUM($C$4:$C$26)/30)</f>
        <v>42.700000000000017</v>
      </c>
      <c r="M29" s="75">
        <f>L29-(SUM($C$4:$C$26)/30)</f>
        <v>40.666666666666686</v>
      </c>
      <c r="N29" s="75">
        <f>M29-(SUM($C$4:$C$26)/30)</f>
        <v>38.633333333333354</v>
      </c>
      <c r="O29" s="75">
        <f>N29-(SUM($C$4:$C$26)/30)</f>
        <v>36.600000000000023</v>
      </c>
      <c r="P29" s="75">
        <f>O29-(SUM($C$4:$C$26)/30)</f>
        <v>34.566666666666691</v>
      </c>
      <c r="Q29" s="75">
        <f>P29-(SUM($C$4:$C$26)/30)</f>
        <v>32.53333333333336</v>
      </c>
      <c r="R29" s="75">
        <f>Q29-(SUM($C$4:$C$26)/30)</f>
        <v>30.500000000000028</v>
      </c>
      <c r="S29" s="76">
        <f>R29-(SUM($C$4:$C$26)/30)</f>
        <v>28.466666666666697</v>
      </c>
      <c r="T29" s="76">
        <f>S29-(SUM($C$4:$C$26)/30)</f>
        <v>26.433333333333366</v>
      </c>
      <c r="U29" s="76">
        <f>T29-(SUM($C$4:$C$26)/30)</f>
        <v>24.400000000000034</v>
      </c>
      <c r="V29" s="76">
        <f>U29-(SUM($C$4:$C$26)/30)</f>
        <v>22.366666666666703</v>
      </c>
      <c r="W29" s="76">
        <f>V29-(SUM($C$4:$C$26)/30)</f>
        <v>20.333333333333371</v>
      </c>
      <c r="X29" s="76"/>
    </row>
    <row r="30" spans="2:24" ht="15.75" customHeight="1" x14ac:dyDescent="0.25"/>
    <row r="31" spans="2:24" ht="15.75" customHeight="1" x14ac:dyDescent="0.25"/>
    <row r="32" spans="2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4:9" ht="15.75" customHeight="1" x14ac:dyDescent="0.25"/>
    <row r="50" spans="4:9" ht="15.75" customHeight="1" x14ac:dyDescent="0.25"/>
    <row r="51" spans="4:9" ht="15.75" customHeight="1" x14ac:dyDescent="0.25"/>
    <row r="52" spans="4:9" ht="15.75" customHeight="1" x14ac:dyDescent="0.25"/>
    <row r="53" spans="4:9" ht="15.75" customHeight="1" x14ac:dyDescent="0.25"/>
    <row r="54" spans="4:9" ht="15.75" customHeight="1" x14ac:dyDescent="0.25">
      <c r="D54" s="80"/>
      <c r="E54" s="80"/>
      <c r="F54" s="80"/>
      <c r="G54" s="80"/>
      <c r="H54" s="80"/>
      <c r="I54" s="80"/>
    </row>
    <row r="55" spans="4:9" ht="15.75" customHeight="1" x14ac:dyDescent="0.25"/>
    <row r="56" spans="4:9" ht="15.75" customHeight="1" x14ac:dyDescent="0.25"/>
    <row r="57" spans="4:9" ht="15.75" customHeight="1" x14ac:dyDescent="0.25"/>
    <row r="58" spans="4:9" ht="15.75" customHeight="1" x14ac:dyDescent="0.25"/>
    <row r="59" spans="4:9" ht="15.75" customHeight="1" x14ac:dyDescent="0.25"/>
    <row r="60" spans="4:9" ht="15.75" customHeight="1" x14ac:dyDescent="0.25"/>
    <row r="61" spans="4:9" ht="15.75" customHeight="1" x14ac:dyDescent="0.25"/>
    <row r="62" spans="4:9" ht="15.75" customHeight="1" x14ac:dyDescent="0.25"/>
    <row r="63" spans="4:9" ht="15.75" customHeight="1" x14ac:dyDescent="0.25"/>
    <row r="64" spans="4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phoneticPr fontId="13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burdonchart</vt:lpstr>
      <vt:lpstr>Sprints</vt:lpstr>
      <vt:lpstr>Copia de 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Manangón</cp:lastModifiedBy>
  <dcterms:created xsi:type="dcterms:W3CDTF">2023-06-05T13:12:31Z</dcterms:created>
  <dcterms:modified xsi:type="dcterms:W3CDTF">2026-02-04T12:33:42Z</dcterms:modified>
</cp:coreProperties>
</file>